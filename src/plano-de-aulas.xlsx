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2026-1" sheetId="1" state="visible" r:id="rId1"/>
    <sheet name="Plano de Aulas Datas 25-2" sheetId="2" state="visible" r:id="rId2"/>
    <sheet name="Plano de Aulas Datas 25-1" sheetId="3" state="visible" r:id="rId3"/>
    <sheet name="Plano de Aulas Datas 24-2" sheetId="4" state="visible" r:id="rId4"/>
    <sheet name="Plano de Aulas Datas 24-1-final" sheetId="5" state="visible" r:id="rId5"/>
    <sheet name="Plano de Aulas Datas 24-1" sheetId="6" state="visible" r:id="rId6"/>
    <sheet name="Plano de Aulas 23-1" sheetId="7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<sst xmlns="http://schemas.openxmlformats.org/spreadsheetml/2006/main" count="142" uniqueCount="142">
  <si>
    <t>Data</t>
  </si>
  <si>
    <t xml:space="preserve">Num aula</t>
  </si>
  <si>
    <t>Tópico</t>
  </si>
  <si>
    <t>Problema</t>
  </si>
  <si>
    <t xml:space="preserve">Dinâmicas de aula</t>
  </si>
  <si>
    <t xml:space="preserve">Status da revisão</t>
  </si>
  <si>
    <t xml:space="preserve">Introdução a algoritmos</t>
  </si>
  <si>
    <t xml:space="preserve">Como representar ideia sem escrever código?</t>
  </si>
  <si>
    <t xml:space="preserve">Exercícios no prairielearn</t>
  </si>
  <si>
    <t xml:space="preserve">Expositiva: Introdução ao curso
Prática: escrever algoritmos simples com pseudo-código
Java: usar cheatsheet para converter pseudo-código para Java</t>
  </si>
  <si>
    <t xml:space="preserve">Como implementar ideia a partir do pseudo-código </t>
  </si>
  <si>
    <t xml:space="preserve">Prática: resolver exercícios de intro a programação em Java. 
Java: usar cheatsheet para converter pseudo-código para Java</t>
  </si>
  <si>
    <t>FERIADO</t>
  </si>
  <si>
    <t xml:space="preserve">Algoritmos p3 - Busca em Strings</t>
  </si>
  <si>
    <t xml:space="preserve">Encontrar termos em texto</t>
  </si>
  <si>
    <t xml:space="preserve">Expositiva: motivação para busca em strings.
Discussão sobre algoritmos de busca em strings: ingênuo
Dá para fazer melhor?
Ref Cormen cap 32</t>
  </si>
  <si>
    <t xml:space="preserve">Quiz Diagnóstico + Busca em Vetores</t>
  </si>
  <si>
    <t xml:space="preserve">Como encontrar um valor em vetor?</t>
  </si>
  <si>
    <t xml:space="preserve">Expositiva: problemas de busca + busca em arrays ordenados
Discussão: a busca mais simples possível
Discussão: Algoritmo de busca binária
Ref Cormen cap 2</t>
  </si>
  <si>
    <t xml:space="preserve">Busca em Vetores</t>
  </si>
  <si>
    <t xml:space="preserve">Comparando desempenho de algoritmos</t>
  </si>
  <si>
    <t xml:space="preserve">Noções de desempenho de algoritmos: busca com for vs busca binária
Generalizando a busca binária
Implementação: busca binária iterativa em Java 
Ref Cormen cap 2 e 3</t>
  </si>
  <si>
    <t>Ordenação</t>
  </si>
  <si>
    <t xml:space="preserve">Quais documentos mostrar primeiro?</t>
  </si>
  <si>
    <t xml:space="preserve">Discussão: E se buscar em vários documentos? Como ordenar?
Discussão: algoritimos simples de ordenação
Implementação em Java: Bubblesort, selection sort. Ref Cormen cap 2</t>
  </si>
  <si>
    <t>Recursão</t>
  </si>
  <si>
    <t xml:space="preserve">Representando problemas usando recursão</t>
  </si>
  <si>
    <t xml:space="preserve">Expositiva + exercícios de algoritmos recursivos</t>
  </si>
  <si>
    <t xml:space="preserve">Ordenando rápido (na média)</t>
  </si>
  <si>
    <t xml:space="preserve">Discussão: quanto tempo levamos para ordenar? 
Expositiva:Intuição do pior caso e introdução a recursão 
Discussão: algoritmo quicksort. Ref Cormen Cap 7</t>
  </si>
  <si>
    <t xml:space="preserve">Ordenando rápido (sempre)</t>
  </si>
  <si>
    <t xml:space="preserve">Expositiva: outras possibilidades recursivas
Discussão: algoritmo mergesort
Implementações
Ref Cormen cap 7</t>
  </si>
  <si>
    <t xml:space="preserve">Quiz em duplas + Estudos para prova</t>
  </si>
  <si>
    <t xml:space="preserve">SEMANA AI</t>
  </si>
  <si>
    <t xml:space="preserve">Primeiro problema de enumeração exaustiva</t>
  </si>
  <si>
    <t xml:space="preserve">Geração de cadeias de DNA. O tamanho dela é o parâmetro!</t>
  </si>
  <si>
    <t xml:space="preserve">Otimizar escolha de ativos levando em conta budget</t>
  </si>
  <si>
    <t xml:space="preserve">Mochila binária I</t>
  </si>
  <si>
    <t xml:space="preserve">Dá para resolver direto? Grupos de alunos fazem heurística para solução e depois trocam. Cada grupo agora deve encontrar uma entrada que quebra a heurística do outro. Ref Skiena Cap 7</t>
  </si>
  <si>
    <t xml:space="preserve">Mochila binária II</t>
  </si>
  <si>
    <r>
      <rPr>
        <sz val="11"/>
        <color theme="1"/>
        <rFont val="Calibri"/>
      </rPr>
      <t xml:space="preserve">Desenvolvimento guiado do algoritmo de backtracking com alunos para a resposta </t>
    </r>
    <r>
      <rPr>
        <b/>
        <sz val="11"/>
        <color theme="1"/>
        <rFont val="Calibri"/>
      </rPr>
      <t xml:space="preserve">SIM/NÃO
</t>
    </r>
    <r>
      <rPr>
        <sz val="11"/>
        <color theme="1"/>
        <rFont val="Calibri"/>
      </rPr>
      <t xml:space="preserve">Implementação do algoritmo usando testes de unidade. Ref Skiena Cap 7</t>
    </r>
  </si>
  <si>
    <t xml:space="preserve">Mochila binária III</t>
  </si>
  <si>
    <t xml:space="preserve">Desenvolvimento guiado do algoritmo de backtracking com alunos que devolve a mochila encontrada.
Implementação do algoritmo usando testes de unidade. Ref Skiena Cap 7</t>
  </si>
  <si>
    <t xml:space="preserve">Caminhos em um Labirinto</t>
  </si>
  <si>
    <t xml:space="preserve">Como representar o labirinto?</t>
  </si>
  <si>
    <t xml:space="preserve">Representação do Labirinto usando Matriz
"Algoritmo da mão direita": desenvolver método inicial para sair do labirinto e implementar.</t>
  </si>
  <si>
    <t xml:space="preserve">QUIZ NESSA SEMANA SOBRE RECURSÃO USANDO AULA CANCELADA!</t>
  </si>
  <si>
    <t xml:space="preserve">Como encontrar um caminho até o destino?</t>
  </si>
  <si>
    <t xml:space="preserve">Desenvolver algoritmo na lousa
Aluno faz Implementação com testes de unidade
Ref Cormen cap 22</t>
  </si>
  <si>
    <r>
      <rPr>
        <sz val="11"/>
        <color theme="1"/>
        <rFont val="Calibri"/>
      </rPr>
      <t xml:space="preserve">Discussão: explorar problemas do algoritmo da aula passada
Desenvolver ideia do algoritmo na lousa
Alunos fazem simulações do algoritmo </t>
    </r>
    <r>
      <rPr>
        <b/>
        <sz val="11"/>
        <color theme="1"/>
        <rFont val="Calibri"/>
      </rPr>
      <t xml:space="preserve">recursivo
</t>
    </r>
    <r>
      <rPr>
        <sz val="11"/>
        <color theme="1"/>
        <rFont val="Calibri"/>
      </rPr>
      <t xml:space="preserve">
Ref Cormen cap 22</t>
    </r>
  </si>
  <si>
    <r>
      <rPr>
        <sz val="11"/>
        <color theme="1"/>
        <rFont val="Calibri"/>
      </rPr>
      <t xml:space="preserve">Desenvolver algoritmo DFS na lousa
Alunos implementam o algoritmo recursivo para resposta </t>
    </r>
    <r>
      <rPr>
        <b/>
        <sz val="11"/>
        <color theme="1"/>
        <rFont val="Calibri"/>
      </rPr>
      <t xml:space="preserve">SIM/NÃO
</t>
    </r>
    <r>
      <rPr>
        <sz val="11"/>
        <color theme="1"/>
        <rFont val="Calibri"/>
      </rPr>
      <t xml:space="preserve">Discussão de como modificar para devolver o caminho encontrado.
Aluno faz Implementação com testes de unidade
Ref Cormen cap 22</t>
    </r>
  </si>
  <si>
    <t xml:space="preserve">Prática de problemas recomendados no leetcode</t>
  </si>
  <si>
    <r>
      <rPr>
        <sz val="11"/>
        <color theme="1"/>
        <rFont val="Calibri"/>
      </rPr>
      <t xml:space="preserve">Desenvolver algoritmo DFS na lousa
Alunos implementam o algoritmo recursivo para resposta </t>
    </r>
    <r>
      <rPr>
        <b/>
        <sz val="11"/>
        <color theme="1"/>
        <rFont val="Calibri"/>
      </rPr>
      <t xml:space="preserve">SIM/NÃO </t>
    </r>
    <r>
      <rPr>
        <sz val="11"/>
        <color theme="1"/>
        <rFont val="Calibri"/>
      </rPr>
      <t xml:space="preserve">em relação a um caminho de um tamanho no máximo N
</t>
    </r>
    <r>
      <rPr>
        <b/>
        <sz val="11"/>
        <color theme="1"/>
        <rFont val="Calibri"/>
      </rPr>
      <t xml:space="preserve">
</t>
    </r>
    <r>
      <rPr>
        <sz val="11"/>
        <color theme="1"/>
        <rFont val="Calibri"/>
      </rPr>
      <t xml:space="preserve">Discussão de como modificar para devolver o caminho encontrado.
Aluno faz Implementação com testes de unidade
Ref Cormen cap 22</t>
    </r>
  </si>
  <si>
    <t xml:space="preserve">SEMANA AF</t>
  </si>
  <si>
    <t xml:space="preserve">Aula extra de implementação</t>
  </si>
  <si>
    <t xml:space="preserve">CRIAR DO ZERO</t>
  </si>
  <si>
    <t xml:space="preserve">Revisão Geral</t>
  </si>
  <si>
    <t xml:space="preserve">Resolução de problemas Leetcode para estudo</t>
  </si>
  <si>
    <t xml:space="preserve">Exercícios no leetcode</t>
  </si>
  <si>
    <t xml:space="preserve">Serão feitos alguns exercícios em conjunto com os alunos. Os exercícios serão passados para estudo uma semana antes</t>
  </si>
  <si>
    <t xml:space="preserve">QUIZ SOBRE RECURSÃO</t>
  </si>
  <si>
    <t xml:space="preserve">Aula de revisão com Ninjas</t>
  </si>
  <si>
    <t xml:space="preserve">Discussão: E se buscar em vários documentos? Como ordenar?
Discussão: algoritimos simples de ordenação
Implementação em Java: Bubblesort, insertion sort. Ref Cormen cap 2</t>
  </si>
  <si>
    <t xml:space="preserve">REPOSIÇÃO 2/24/2025</t>
  </si>
  <si>
    <t>SIGCSE</t>
  </si>
  <si>
    <t xml:space="preserve">REPOSICAO (11/03)</t>
  </si>
  <si>
    <t xml:space="preserve">Desenvolvimento guiado do algoritmo de backtracking com alunos. 
Implementação do algoritmo usando testes de unidade. Ref Skiena Cap 7</t>
  </si>
  <si>
    <t xml:space="preserve">Backtracking: outros problemas</t>
  </si>
  <si>
    <t xml:space="preserve">Problemas de backtracking no leet-code ou algo similar</t>
  </si>
  <si>
    <t xml:space="preserve">Discussão: explorar problemas do algoritmo da aula passada
Desenvolver algoritmo na lousa
Aluno faz Implementação com testes de unidade
Ref Cormen cap 22</t>
  </si>
  <si>
    <t xml:space="preserve">Discussão: explorar problemas do algoritmo da aula passada
Desenvolver algoritmo DFS na lousa
Aluno faz Implementação com testes de unidade
Ref Cormen cap 22</t>
  </si>
  <si>
    <t xml:space="preserve">E o mais curto?</t>
  </si>
  <si>
    <t xml:space="preserve">Discussão: explorar problemas do algoritmo da aula passada
Nova ideia: usar fila para implementar
Desenvolver algoritmo na lousa
Aluno faz implementação com testes de unidade
Ref Cormen cap 22</t>
  </si>
  <si>
    <t xml:space="preserve">Estruturas de Dados</t>
  </si>
  <si>
    <t xml:space="preserve">Ref Cormen cap 22</t>
  </si>
  <si>
    <t xml:space="preserve">Implementações de algoritmos com tipo lista
Atividade: reimplementar algoritmos com diferentes tipos de lista </t>
  </si>
  <si>
    <t xml:space="preserve">Buscas consecutivas: Documento contém uma palavra?</t>
  </si>
  <si>
    <t xml:space="preserve">Expositiva: buscas consecutivas no mesmo texto
ADT para o tipo Dicionário</t>
  </si>
  <si>
    <t>OK</t>
  </si>
  <si>
    <t xml:space="preserve">Rever testes + handout</t>
  </si>
  <si>
    <t xml:space="preserve">Plano para aula na lousa</t>
  </si>
  <si>
    <t xml:space="preserve">Criar do zero</t>
  </si>
  <si>
    <t xml:space="preserve">Encontrar problemas e listar no site. </t>
  </si>
  <si>
    <t xml:space="preserve">Discussão: explorar problemas do algoritmo da aula passada
Desenvolver algoritmo na lousa
Aluno faz Implementação com testes de unidade
Ref Cormen cap 22</t>
  </si>
  <si>
    <t xml:space="preserve">Revisão leve</t>
  </si>
  <si>
    <t xml:space="preserve">Problema para resolver no Labirinto</t>
  </si>
  <si>
    <t xml:space="preserve">Revisão leve → encontrar problemas leetcode para ajudar na prática</t>
  </si>
  <si>
    <t xml:space="preserve">Revisão completa</t>
  </si>
  <si>
    <t xml:space="preserve">Atividades Extras (se der)</t>
  </si>
  <si>
    <t>Dinâmica</t>
  </si>
  <si>
    <t xml:space="preserve">SEM AULA</t>
  </si>
  <si>
    <t>Feriado</t>
  </si>
  <si>
    <t xml:space="preserve">Expositiva: motivação para busca em strings.
Discussão sobre algoritmos de busca em strings: ingênuo
Dá para fazer melhor?</t>
  </si>
  <si>
    <t xml:space="preserve">Expositiva: problemas de busca + busca em arrays ordenados
Discussão: a busca mais simples possível
Discussão: Algoritmo de busca binária
</t>
  </si>
  <si>
    <t xml:space="preserve">Noções de desempenho de algoritmos: busca com for vs busca binária
Generalizando a busca binária
Implementação: busca binária iterativa em Java 
</t>
  </si>
  <si>
    <t xml:space="preserve">Expositiva: algoritmos de encontrar todas as ocorrências + interface para o tipo Lista
Handout: tipo List usando vetor dinâmico
Implementação: vetor dinâmico em Java (tipo InsperList)</t>
  </si>
  <si>
    <t xml:space="preserve">Atividade Extra: Expressões regulares</t>
  </si>
  <si>
    <t xml:space="preserve">Avaliação docente + dinâmica de feedbacck
Usar expressões regulares para fazer buscas complexas em texto. Serão os mesmos exercícios das aulas anteriores, mas agora usando RE em Java</t>
  </si>
  <si>
    <t xml:space="preserve">Discussão: E se buscar em vários documentos? Como ordenar?
Discussão: algoritimos simples de ordenação
Implementação em Java: Bubblesort, insertion sort</t>
  </si>
  <si>
    <t xml:space="preserve">Discussão: quanto tempo levamos para ordenar? 
Expositiva:Intuição do pior caso e introdução a recursão 
Discussão: algoritmo quicksort</t>
  </si>
  <si>
    <t xml:space="preserve">Expositiva: outras possibilidades recursivas
Discussão: algoritmo mergesort
Implementações</t>
  </si>
  <si>
    <t xml:space="preserve">Problemas com ordenação</t>
  </si>
  <si>
    <t xml:space="preserve">Implementação: problemas que usam ordenação</t>
  </si>
  <si>
    <t xml:space="preserve">Discussão: explorar problemas do algoritmo da aula passada
Desenvolver algoritmo na lousa
Aluno faz Implementação com testes de unidade</t>
  </si>
  <si>
    <t xml:space="preserve">Discussão: explorar problemas do algoritmo da aula passada
Nova ideia: usar fila para implementar
Desenvolver algoritmo na lousa
Aluno faz implementação com testes de unidade</t>
  </si>
  <si>
    <t xml:space="preserve">Dá para resolver direto? Grupos de alunos fazem heurística para solução e depois trocam. Cada grupo agora deve encontrar uma entrada que quebra a heurística do outro.</t>
  </si>
  <si>
    <t xml:space="preserve">Desenvolvimento guiado do algoritmo de backtracking com alunos. 
Implementação do algoritmo usando testes de unidade.</t>
  </si>
  <si>
    <t xml:space="preserve">Buffer (se tudo correr bem essa aula sai ano que vem)</t>
  </si>
  <si>
    <t xml:space="preserve">Definir expectativas em termos de manipulação de dados</t>
  </si>
  <si>
    <t xml:space="preserve">Expositiva: problemas que podem ser resolvido com busca em array
Expositiva sobre Interfaces e ADT
Início do Tipo Array + ArrayBuscável</t>
  </si>
  <si>
    <t xml:space="preserve">Implementação: a busca mais simples possível
Dá para fazer melhor?
Noções de desempenho de algoritmos</t>
  </si>
  <si>
    <t xml:space="preserve">E se estiver ordenado?
Como manter ordenado com inserção e remoção</t>
  </si>
  <si>
    <t xml:space="preserve">Expositiva: busca em vetores ordenados
Discussão: Algoritmo de busca binária
Implementação: busca binária iterativa em Java 
</t>
  </si>
  <si>
    <t xml:space="preserve">Busca em Strings</t>
  </si>
  <si>
    <t xml:space="preserve">Expositiva: encontrando todas ocorrências
ADT para o tipo lista!</t>
  </si>
  <si>
    <t xml:space="preserve">Expositiva: buscas consecutivas no mesmo texto
ADT para o tipo Conjunto, Tabela de Hash</t>
  </si>
  <si>
    <t xml:space="preserve">Expressões regulares</t>
  </si>
  <si>
    <t xml:space="preserve">Usar expressões regulares para fazer buscas complexas em texto. Serão os mesmos exercícios das aulas anteriores, mas agora usando RE em Java</t>
  </si>
  <si>
    <t xml:space="preserve">Vai ser depois da AI, aula de reposição</t>
  </si>
  <si>
    <t xml:space="preserve">Sistema Linear</t>
  </si>
  <si>
    <t xml:space="preserve">Resolvendo sistemas lineares</t>
  </si>
  <si>
    <t xml:space="preserve">Expositiva da ADT Matriz
Desenvolvimento do algoritmo: Eliminação gaussiana
Implementação com testes de unidade</t>
  </si>
  <si>
    <t xml:space="preserve">Buffer (se não der tudo bem)</t>
  </si>
  <si>
    <t>Buffer</t>
  </si>
  <si>
    <t>ADT</t>
  </si>
  <si>
    <t xml:space="preserve">Expositiva sobre Interfaces e ADT
Início do Tipo Lista</t>
  </si>
  <si>
    <t xml:space="preserve">Armazenamento de dados brutos (em sequência)</t>
  </si>
  <si>
    <t xml:space="preserve">Expositiva sobre o Tipo Lista
Atividade prática de implementação</t>
  </si>
  <si>
    <t xml:space="preserve">Armazenamento de pares chave-valor</t>
  </si>
  <si>
    <t xml:space="preserve">Expositiva sobre o tipo Map (usando Lista)
Atividade prática de implementação</t>
  </si>
  <si>
    <t xml:space="preserve">Busca em vetores</t>
  </si>
  <si>
    <t xml:space="preserve">Expositiva: problemas que podem ser resolvido com busca em vetor
Implementação: a busca mais simples possível
Discussão: o que é necessário para ser buscável? ADT para busca</t>
  </si>
  <si>
    <t xml:space="preserve">E se estiver ordenado?
Como manter ordenado com inserção e remoção</t>
  </si>
  <si>
    <t xml:space="preserve">Expositiva: busca em vetores ordenados
Discussão: Algoritmo de busca binária
Implementação: busca binária em Java
Discussão: como manter ordenado? Algoritmos para remoção e inserção ordenada</t>
  </si>
  <si>
    <t xml:space="preserve">Expositiva: algoritmo Boyer-Moore (ou KMP)
Discussões: simulação do algoritmo
Implementação em Java</t>
  </si>
  <si>
    <t xml:space="preserve">Tipo Conjunto, Tabela de Hash</t>
  </si>
  <si>
    <t xml:space="preserve">Estratégias de busca</t>
  </si>
  <si>
    <t xml:space="preserve">Discussão: explorar problemas do algoritmo da aula passada
Nova ideia: usar pilha para implementar
Desenvolver algoritmo na lousa
Aluno faz Implementação com testes de unidade</t>
  </si>
  <si>
    <t xml:space="preserve">Melhorando nossa DFS</t>
  </si>
  <si>
    <t xml:space="preserve">Expositiva: o quê é recursão
Discussão: como usar para DFS
Implementação: recursão na DFS</t>
  </si>
  <si>
    <t>Backtracking</t>
  </si>
  <si>
    <t xml:space="preserve">Outros problemas com backtracking: 8 rainhas, troco, 3-sat, MIP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</si>
</sst>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9">
    <font>
      <sz val="11.000000"/>
      <color theme="1"/>
      <name val="Calibri"/>
    </font>
    <font>
      <sz val="10.000000"/>
      <name val="Arial"/>
    </font>
    <font>
      <sz val="11.000000"/>
      <color rgb="FF9C0006"/>
      <name val="Calibri"/>
    </font>
    <font>
      <b/>
      <sz val="11.000000"/>
      <color theme="0"/>
      <name val="Calibri"/>
    </font>
    <font>
      <sz val="11.000000"/>
      <color rgb="FF3F3F76"/>
      <name val="Calibri"/>
    </font>
    <font>
      <b/>
      <sz val="11.000000"/>
      <color theme="1"/>
      <name val="Calibri"/>
    </font>
    <font>
      <sz val="11.000000"/>
      <color theme="0" tint="0"/>
      <name val="Calibri"/>
    </font>
    <font>
      <sz val="11.000000"/>
      <color rgb="FFC9211E"/>
      <name val="Calibri"/>
    </font>
    <font>
      <sz val="11.000000"/>
      <color indexed="65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C7CE"/>
        <bgColor rgb="FFFFD7D7"/>
      </patternFill>
    </fill>
    <fill>
      <patternFill patternType="solid">
        <fgColor rgb="FFA5A5A5"/>
        <bgColor indexed="24"/>
      </patternFill>
    </fill>
    <fill>
      <patternFill patternType="solid">
        <fgColor indexed="47"/>
        <bgColor rgb="FFFFC7CE"/>
      </patternFill>
    </fill>
    <fill>
      <patternFill patternType="solid">
        <fgColor theme="7" tint="0.39989999999999998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theme="7" tint="0.79990000000000006"/>
        <bgColor rgb="FFFFF5CE"/>
      </patternFill>
    </fill>
    <fill>
      <patternFill patternType="solid">
        <fgColor rgb="FFFFF5CE"/>
        <bgColor rgb="FFFFF2CC"/>
      </patternFill>
    </fill>
    <fill>
      <patternFill patternType="solid">
        <fgColor rgb="FF5B277D"/>
        <bgColor rgb="FF3F3F76"/>
      </patternFill>
    </fill>
    <fill>
      <patternFill patternType="solid">
        <fgColor rgb="FFFFD7D7"/>
        <bgColor rgb="FFFFC7CE"/>
      </patternFill>
    </fill>
    <fill>
      <patternFill patternType="solid">
        <fgColor rgb="FFC00000"/>
        <bgColor rgb="FF9C0006"/>
      </patternFill>
    </fill>
    <fill>
      <patternFill patternType="solid">
        <fgColor theme="7" tint="0.59989999999999999"/>
        <bgColor rgb="FFFFF2CC"/>
      </patternFill>
    </fill>
    <fill>
      <patternFill patternType="solid">
        <fgColor rgb="FFBBE33D"/>
        <bgColor rgb="FFFFD966"/>
      </patternFill>
    </fill>
    <fill>
      <patternFill patternType="solid">
        <fgColor rgb="FFFFFF38"/>
        <bgColor indexed="5"/>
      </patternFill>
    </fill>
    <fill>
      <patternFill patternType="solid">
        <fgColor indexed="2"/>
        <bgColor rgb="FFC00000"/>
      </patternFill>
    </fill>
    <fill>
      <patternFill patternType="solid">
        <fgColor rgb="FFFF3838"/>
        <bgColor rgb="FFC9211E"/>
      </patternFill>
    </fill>
  </fills>
  <borders count="6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9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1" applyFont="1" applyFill="1" applyBorder="0" applyProtection="1">
      <protection hidden="0" locked="1"/>
    </xf>
    <xf fontId="3" fillId="3" borderId="1" numFmtId="0" applyNumberFormat="1" applyFont="1" applyFill="1" applyBorder="1" applyProtection="1">
      <protection hidden="0" locked="1"/>
    </xf>
    <xf fontId="4" fillId="4" borderId="2" numFmtId="0" applyNumberFormat="1" applyFont="1" applyFill="1" applyBorder="1" applyProtection="1">
      <protection hidden="0" locked="1"/>
    </xf>
  </cellStyleXfs>
  <cellXfs count="44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5" fillId="0" borderId="0" numFmtId="0" xfId="0" applyFont="1" applyProtection="1">
      <protection hidden="0" locked="1"/>
    </xf>
    <xf fontId="0" fillId="0" borderId="0" numFmtId="164" xfId="0" applyNumberFormat="1" applyProtection="1">
      <protection hidden="0" locked="1"/>
    </xf>
    <xf fontId="0" fillId="5" borderId="0" numFmtId="0" xfId="0" applyFill="1" applyAlignment="1" applyProtection="1">
      <alignment horizontal="left" vertical="center"/>
      <protection hidden="0" locked="1"/>
    </xf>
    <xf fontId="0" fillId="5" borderId="0" numFmtId="0" xfId="0" applyFill="1" applyAlignment="1" applyProtection="1">
      <alignment horizontal="left" vertical="center" wrapText="1"/>
      <protection hidden="0" locked="1"/>
    </xf>
    <xf fontId="6" fillId="6" borderId="3" numFmtId="0" xfId="0" applyFont="1" applyFill="1" applyBorder="1" applyAlignment="1" applyProtection="0">
      <alignment horizontal="center" vertical="center"/>
      <protection hidden="0" locked="1"/>
    </xf>
    <xf fontId="6" fillId="6" borderId="4" numFmtId="0" xfId="0" applyFont="1" applyFill="1" applyBorder="1" applyAlignment="1" applyProtection="0">
      <alignment horizontal="center" vertical="center"/>
      <protection hidden="0" locked="1"/>
    </xf>
    <xf fontId="6" fillId="6" borderId="5" numFmtId="0" xfId="0" applyFont="1" applyFill="1" applyBorder="1" applyAlignment="1" applyProtection="0">
      <alignment horizontal="center" vertical="center"/>
      <protection hidden="0" locked="1"/>
    </xf>
    <xf fontId="2" fillId="2" borderId="0" numFmtId="0" xfId="6" applyFont="1" applyFill="1" applyAlignment="1" applyProtection="1">
      <alignment horizontal="center"/>
      <protection hidden="0" locked="1"/>
    </xf>
    <xf fontId="0" fillId="5" borderId="0" numFmtId="0" xfId="0" applyFill="1" applyAlignment="1" applyProtection="1">
      <alignment vertical="center" wrapText="1"/>
      <protection hidden="0" locked="1"/>
    </xf>
    <xf fontId="0" fillId="7" borderId="0" numFmtId="0" xfId="0" applyFill="1" applyAlignment="1" applyProtection="1">
      <alignment horizontal="left" vertical="center"/>
      <protection hidden="0" locked="1"/>
    </xf>
    <xf fontId="0" fillId="7" borderId="0" numFmtId="0" xfId="0" applyFill="1" applyAlignment="1" applyProtection="1">
      <alignment horizontal="left" vertical="center" wrapText="1"/>
      <protection hidden="0" locked="1"/>
    </xf>
    <xf fontId="0" fillId="7" borderId="0" numFmtId="0" xfId="0" applyFill="1" applyAlignment="1" applyProtection="1">
      <alignment horizontal="left" vertical="center" wrapText="1"/>
      <protection hidden="0" locked="1"/>
    </xf>
    <xf fontId="0" fillId="5" borderId="0" numFmtId="0" xfId="0" applyFill="1" applyAlignment="1" applyProtection="1">
      <alignment horizontal="left" vertical="center" wrapText="1"/>
      <protection hidden="0" locked="1"/>
    </xf>
    <xf fontId="7" fillId="0" borderId="0" numFmtId="0" xfId="0" applyFont="1" applyProtection="1">
      <protection hidden="0" locked="1"/>
    </xf>
    <xf fontId="0" fillId="8" borderId="0" numFmtId="0" xfId="0" applyFill="1" applyAlignment="1" applyProtection="1">
      <alignment vertical="center" wrapText="1"/>
      <protection hidden="0" locked="1"/>
    </xf>
    <xf fontId="0" fillId="8" borderId="0" numFmtId="0" xfId="0" applyFill="1" applyAlignment="1" applyProtection="1">
      <alignment horizontal="left" vertical="center" wrapText="1"/>
      <protection hidden="0" locked="1"/>
    </xf>
    <xf fontId="3" fillId="3" borderId="1" numFmtId="0" xfId="7" applyFont="1" applyFill="1" applyBorder="1" applyAlignment="1" applyProtection="1">
      <alignment horizontal="center" vertical="center" wrapText="1"/>
      <protection hidden="0" locked="1"/>
    </xf>
    <xf fontId="3" fillId="3" borderId="1" numFmtId="0" xfId="7" applyFont="1" applyFill="1" applyBorder="1" applyAlignment="1" applyProtection="1">
      <alignment horizontal="center" vertical="center"/>
      <protection hidden="0" locked="1"/>
    </xf>
    <xf fontId="0" fillId="7" borderId="0" numFmtId="0" xfId="0" applyFill="1" applyAlignment="1" applyProtection="1">
      <alignment horizontal="center" vertical="center" wrapText="1"/>
      <protection hidden="0" locked="1"/>
    </xf>
    <xf fontId="0" fillId="7" borderId="0" numFmtId="0" xfId="0" applyFill="1" applyAlignment="1" applyProtection="1">
      <alignment horizontal="center" vertical="center" wrapText="1"/>
      <protection hidden="0" locked="1"/>
    </xf>
    <xf fontId="0" fillId="0" borderId="0" numFmtId="14" xfId="0" applyNumberFormat="1" applyProtection="1">
      <protection hidden="0" locked="1"/>
    </xf>
    <xf fontId="8" fillId="9" borderId="0" numFmtId="0" xfId="0" applyFont="1" applyFill="1" applyAlignment="1" applyProtection="1">
      <alignment horizontal="center" vertical="center"/>
      <protection hidden="0" locked="1"/>
    </xf>
    <xf fontId="0" fillId="10" borderId="0" numFmtId="0" xfId="0" applyFill="1" applyAlignment="1" applyProtection="1">
      <alignment horizontal="center" vertical="center"/>
      <protection hidden="0" locked="1"/>
    </xf>
    <xf fontId="2" fillId="2" borderId="0" numFmtId="0" xfId="6" applyFont="1" applyFill="1" applyAlignment="1" applyProtection="1">
      <alignment horizontal="center" vertical="center"/>
      <protection hidden="0" locked="1"/>
    </xf>
    <xf fontId="2" fillId="2" borderId="0" numFmtId="0" xfId="6" applyFont="1" applyFill="1" applyProtection="1">
      <protection hidden="0" locked="1"/>
    </xf>
    <xf fontId="0" fillId="11" borderId="0" numFmtId="0" xfId="0" applyFill="1" applyAlignment="1" applyProtection="1">
      <alignment horizontal="center" vertical="center" wrapText="1"/>
      <protection hidden="0" locked="1"/>
    </xf>
    <xf fontId="0" fillId="5" borderId="0" numFmtId="0" xfId="0" applyFill="1" applyAlignment="1" applyProtection="1">
      <alignment horizontal="center" vertical="center" wrapText="1"/>
      <protection hidden="0" locked="1"/>
    </xf>
    <xf fontId="0" fillId="12" borderId="0" numFmtId="0" xfId="0" applyFill="1" applyAlignment="1" applyProtection="1">
      <alignment horizontal="center" vertical="center" wrapText="1"/>
      <protection hidden="0" locked="1"/>
    </xf>
    <xf fontId="0" fillId="12" borderId="0" numFmtId="0" xfId="0" applyFill="1" applyAlignment="1" applyProtection="1">
      <alignment vertical="center" wrapText="1"/>
      <protection hidden="0" locked="1"/>
    </xf>
    <xf fontId="0" fillId="12" borderId="0" numFmtId="0" xfId="0" applyFill="1" applyAlignment="1" applyProtection="1">
      <alignment horizontal="left" vertical="center" wrapText="1"/>
      <protection hidden="0" locked="1"/>
    </xf>
    <xf fontId="0" fillId="13" borderId="0" numFmtId="0" xfId="0" applyFill="1" applyProtection="1">
      <protection hidden="0" locked="1"/>
    </xf>
    <xf fontId="0" fillId="14" borderId="0" numFmtId="0" xfId="0" applyFill="1" applyProtection="1">
      <protection hidden="0" locked="1"/>
    </xf>
    <xf fontId="0" fillId="15" borderId="0" numFmtId="0" xfId="0" applyFill="1" applyProtection="1">
      <protection hidden="0" locked="1"/>
    </xf>
    <xf fontId="0" fillId="14" borderId="0" numFmtId="0" xfId="0" applyFill="1" applyAlignment="1" applyProtection="1">
      <alignment wrapText="1"/>
      <protection hidden="0" locked="1"/>
    </xf>
    <xf fontId="0" fillId="16" borderId="0" numFmtId="0" xfId="0" applyFill="1" applyProtection="1">
      <protection hidden="0" locked="1"/>
    </xf>
    <xf fontId="2" fillId="2" borderId="0" numFmtId="0" xfId="6" applyFont="1" applyFill="1" applyAlignment="1" applyProtection="1">
      <alignment horizontal="center" wrapText="1"/>
      <protection hidden="0" locked="1"/>
    </xf>
    <xf fontId="4" fillId="4" borderId="2" numFmtId="0" xfId="8" applyFont="1" applyFill="1" applyBorder="1" applyAlignment="1" applyProtection="1">
      <alignment wrapText="1"/>
      <protection hidden="0" locked="1"/>
    </xf>
    <xf fontId="4" fillId="4" borderId="2" numFmtId="0" xfId="8" applyFont="1" applyFill="1" applyBorder="1" applyProtection="1">
      <protection hidden="0" locked="1"/>
    </xf>
    <xf fontId="0" fillId="7" borderId="0" numFmtId="0" xfId="0" applyFill="1" applyAlignment="1" applyProtection="1">
      <alignment vertical="center" wrapText="1"/>
      <protection hidden="0" locked="1"/>
    </xf>
    <xf fontId="3" fillId="3" borderId="1" numFmtId="0" xfId="7" applyFont="1" applyFill="1" applyBorder="1" applyAlignment="1" applyProtection="1">
      <alignment horizontal="center" wrapText="1"/>
      <protection hidden="0" locked="1"/>
    </xf>
    <xf fontId="0" fillId="7" borderId="0" numFmtId="0" xfId="0" applyFill="1" applyAlignment="1" applyProtection="1">
      <alignment wrapText="1"/>
      <protection hidden="0" locked="1"/>
    </xf>
    <xf fontId="3" fillId="3" borderId="1" numFmtId="0" xfId="7" applyFont="1" applyFill="1" applyBorder="1" applyAlignment="1" applyProtection="1">
      <alignment horizontal="center"/>
      <protection hidden="0" locked="1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Bad" xfId="6"/>
    <cellStyle name="Excel Built-in Check Cell" xfId="7"/>
    <cellStyle name="Excel Built-in Input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1" zoomScale="90" workbookViewId="0">
      <selection activeCell="C4" activeCellId="0" sqref="C4:F4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  <col customWidth="1" min="10" max="10" style="1" width="16.280000000000001"/>
    <col customWidth="1" min="11" max="11" style="1" width="40.96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/>
    </row>
    <row r="2" ht="71.25">
      <c r="A2" s="3">
        <v>46062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</row>
    <row r="3" ht="57">
      <c r="A3" s="3">
        <v>46064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</row>
    <row r="4" ht="13.800000000000001">
      <c r="A4" s="3">
        <f t="shared" ref="A4:A7" si="0">A2+7</f>
        <v>46069</v>
      </c>
      <c r="B4" s="4"/>
      <c r="C4" s="6" t="s">
        <v>12</v>
      </c>
      <c r="D4" s="7"/>
      <c r="E4" s="7"/>
      <c r="F4" s="8"/>
    </row>
    <row r="5" ht="13.800000000000001">
      <c r="A5" s="3">
        <f t="shared" si="0"/>
        <v>46071</v>
      </c>
      <c r="B5" s="9"/>
      <c r="C5" s="6" t="s">
        <v>12</v>
      </c>
      <c r="D5" s="7"/>
      <c r="E5" s="7"/>
      <c r="F5" s="8"/>
    </row>
    <row r="6" ht="85.5">
      <c r="A6" s="3">
        <f t="shared" si="0"/>
        <v>46076</v>
      </c>
      <c r="B6" s="4">
        <v>3</v>
      </c>
      <c r="C6" s="5" t="s">
        <v>13</v>
      </c>
      <c r="D6" s="10" t="s">
        <v>14</v>
      </c>
      <c r="E6" s="5" t="s">
        <v>8</v>
      </c>
      <c r="F6" s="10" t="s">
        <v>15</v>
      </c>
    </row>
    <row r="7" ht="124.5" customHeight="1">
      <c r="A7" s="3">
        <f t="shared" si="0"/>
        <v>46078</v>
      </c>
      <c r="B7" s="11">
        <v>4</v>
      </c>
      <c r="C7" s="12" t="s">
        <v>16</v>
      </c>
      <c r="D7" s="13" t="s">
        <v>17</v>
      </c>
      <c r="E7" s="13" t="s">
        <v>8</v>
      </c>
      <c r="F7" s="12" t="s">
        <v>18</v>
      </c>
    </row>
    <row r="8" ht="69.75" customHeight="1">
      <c r="A8" s="3">
        <f>A6 + 7</f>
        <v>46083</v>
      </c>
      <c r="B8" s="11"/>
      <c r="C8" s="13" t="s">
        <v>19</v>
      </c>
      <c r="D8" s="13" t="s">
        <v>20</v>
      </c>
      <c r="E8" s="13" t="s">
        <v>8</v>
      </c>
      <c r="F8" s="13" t="s">
        <v>21</v>
      </c>
    </row>
    <row r="9" ht="121.5" customHeight="1">
      <c r="A9" s="3">
        <f>A7+7</f>
        <v>46085</v>
      </c>
      <c r="B9" s="11">
        <v>5</v>
      </c>
      <c r="C9" s="5" t="s">
        <v>22</v>
      </c>
      <c r="D9" s="14" t="s">
        <v>23</v>
      </c>
      <c r="E9" s="5" t="s">
        <v>8</v>
      </c>
      <c r="F9" s="5" t="s">
        <v>24</v>
      </c>
      <c r="G9" s="15"/>
    </row>
    <row r="10" ht="98.5" customHeight="1">
      <c r="A10" s="3">
        <f>A8 + 7</f>
        <v>46090</v>
      </c>
      <c r="B10" s="11">
        <v>6</v>
      </c>
      <c r="C10" s="16" t="s">
        <v>25</v>
      </c>
      <c r="D10" s="17" t="s">
        <v>26</v>
      </c>
      <c r="E10" s="17" t="s">
        <v>8</v>
      </c>
      <c r="F10" s="17" t="s">
        <v>27</v>
      </c>
    </row>
    <row r="11" ht="110.25" customHeight="1">
      <c r="A11" s="3">
        <f>A9+7</f>
        <v>46092</v>
      </c>
      <c r="B11" s="4">
        <v>7</v>
      </c>
      <c r="C11" s="5" t="s">
        <v>22</v>
      </c>
      <c r="D11" s="5" t="s">
        <v>28</v>
      </c>
      <c r="E11" s="5" t="s">
        <v>8</v>
      </c>
      <c r="F11" s="5" t="s">
        <v>29</v>
      </c>
    </row>
    <row r="12" ht="101.25" customHeight="1">
      <c r="A12" s="3">
        <f>A10 + 7</f>
        <v>46097</v>
      </c>
      <c r="B12" s="4">
        <v>8</v>
      </c>
      <c r="C12" s="5" t="s">
        <v>22</v>
      </c>
      <c r="D12" s="5" t="s">
        <v>30</v>
      </c>
      <c r="E12" s="5" t="s">
        <v>8</v>
      </c>
      <c r="F12" s="5" t="s">
        <v>31</v>
      </c>
      <c r="G12" s="1"/>
    </row>
    <row r="13" ht="99.950000000000003" customHeight="1">
      <c r="A13" s="3">
        <f>A11+7</f>
        <v>46099</v>
      </c>
      <c r="B13" s="4">
        <v>9</v>
      </c>
      <c r="C13" s="5" t="s">
        <v>32</v>
      </c>
      <c r="D13" s="5"/>
      <c r="E13" s="5"/>
      <c r="F13" s="5"/>
    </row>
    <row r="14" ht="99.950000000000003" customHeight="1">
      <c r="A14" s="3">
        <f>A12 + 7</f>
        <v>46104</v>
      </c>
      <c r="B14" s="4"/>
      <c r="C14" s="18" t="s">
        <v>33</v>
      </c>
      <c r="D14" s="18" t="s">
        <v>33</v>
      </c>
      <c r="E14" s="18" t="s">
        <v>33</v>
      </c>
      <c r="F14" s="19"/>
    </row>
    <row r="15" ht="93.75" customHeight="1">
      <c r="A15" s="3">
        <f>A13+7</f>
        <v>46106</v>
      </c>
      <c r="B15" s="11">
        <v>10</v>
      </c>
      <c r="C15" s="18" t="s">
        <v>33</v>
      </c>
      <c r="D15" s="18" t="s">
        <v>33</v>
      </c>
      <c r="E15" s="18" t="s">
        <v>33</v>
      </c>
      <c r="F15" s="19"/>
    </row>
    <row r="16" ht="106.7" customHeight="1">
      <c r="A16" s="3">
        <f>A14 + 7</f>
        <v>46111</v>
      </c>
      <c r="B16" s="19"/>
      <c r="C16" s="13" t="s">
        <v>34</v>
      </c>
      <c r="D16" s="13"/>
      <c r="E16" s="13" t="s">
        <v>8</v>
      </c>
      <c r="F16" s="13" t="s">
        <v>35</v>
      </c>
      <c r="G16" s="15"/>
    </row>
    <row r="17" ht="138.80000000000001" customHeight="1">
      <c r="A17" s="3">
        <f t="shared" ref="A17:A18" si="1">A15+7</f>
        <v>46113</v>
      </c>
      <c r="B17" s="19"/>
      <c r="C17" s="13" t="s">
        <v>36</v>
      </c>
      <c r="D17" s="13" t="s">
        <v>37</v>
      </c>
      <c r="E17" s="13" t="s">
        <v>8</v>
      </c>
      <c r="F17" s="13" t="s">
        <v>38</v>
      </c>
      <c r="L17" s="1"/>
    </row>
    <row r="18" ht="134.30000000000001" customHeight="1">
      <c r="A18" s="3">
        <f t="shared" si="1"/>
        <v>46118</v>
      </c>
      <c r="B18" s="11">
        <v>11</v>
      </c>
      <c r="C18" s="13" t="s">
        <v>36</v>
      </c>
      <c r="D18" s="13" t="s">
        <v>39</v>
      </c>
      <c r="E18" s="13" t="s">
        <v>8</v>
      </c>
      <c r="F18" s="13" t="s">
        <v>40</v>
      </c>
      <c r="L18" s="1"/>
    </row>
    <row r="19" ht="121.59999999999999" customHeight="1">
      <c r="A19" s="3">
        <f>A17 + 7</f>
        <v>46120</v>
      </c>
      <c r="B19" s="11">
        <v>12</v>
      </c>
      <c r="C19" s="13" t="s">
        <v>36</v>
      </c>
      <c r="D19" s="13" t="s">
        <v>41</v>
      </c>
      <c r="E19" s="13" t="s">
        <v>8</v>
      </c>
      <c r="F19" s="13" t="s">
        <v>42</v>
      </c>
      <c r="L19" s="1"/>
    </row>
    <row r="20" ht="139.55000000000001" customHeight="1">
      <c r="A20" s="3">
        <f>A18+7</f>
        <v>46125</v>
      </c>
      <c r="B20" s="11">
        <v>13</v>
      </c>
      <c r="C20" s="5" t="s">
        <v>43</v>
      </c>
      <c r="D20" s="5" t="s">
        <v>44</v>
      </c>
      <c r="E20" s="5" t="s">
        <v>8</v>
      </c>
      <c r="F20" s="5" t="s">
        <v>45</v>
      </c>
      <c r="L20" s="1" t="s">
        <v>46</v>
      </c>
    </row>
    <row r="21" ht="127.59999999999999" customHeight="1">
      <c r="A21" s="3">
        <f>A19 + 7</f>
        <v>46127</v>
      </c>
      <c r="B21" s="11">
        <v>14</v>
      </c>
      <c r="C21" s="5" t="s">
        <v>43</v>
      </c>
      <c r="D21" s="5" t="s">
        <v>47</v>
      </c>
      <c r="E21" s="5" t="s">
        <v>8</v>
      </c>
      <c r="F21" s="5" t="s">
        <v>48</v>
      </c>
      <c r="L21" s="1"/>
    </row>
    <row r="22" ht="64.5" customHeight="1">
      <c r="A22" s="3">
        <f>A20+7</f>
        <v>46132</v>
      </c>
      <c r="B22" s="4">
        <v>15</v>
      </c>
      <c r="C22" s="6" t="s">
        <v>12</v>
      </c>
      <c r="D22" s="7"/>
      <c r="E22" s="7"/>
      <c r="F22" s="8"/>
      <c r="G22" s="1"/>
      <c r="L22" s="1"/>
    </row>
    <row r="23" ht="202.19999999999999" customHeight="1">
      <c r="A23" s="3">
        <f>A21 + 7</f>
        <v>46134</v>
      </c>
      <c r="B23" s="11">
        <v>16</v>
      </c>
      <c r="C23" s="20" t="s">
        <v>43</v>
      </c>
      <c r="D23" s="13" t="s">
        <v>47</v>
      </c>
      <c r="E23" s="20" t="s">
        <v>8</v>
      </c>
      <c r="F23" s="13" t="s">
        <v>49</v>
      </c>
    </row>
    <row r="24" ht="99.25" customHeight="1">
      <c r="A24" s="3">
        <f>A22+7</f>
        <v>46139</v>
      </c>
      <c r="B24" s="11">
        <v>17</v>
      </c>
      <c r="C24" s="20" t="s">
        <v>43</v>
      </c>
      <c r="D24" s="13" t="s">
        <v>47</v>
      </c>
      <c r="E24" s="20" t="s">
        <v>8</v>
      </c>
      <c r="F24" s="13" t="s">
        <v>50</v>
      </c>
    </row>
    <row r="25" ht="112.65000000000001" customHeight="1">
      <c r="A25" s="3">
        <f>A23 + 7</f>
        <v>46141</v>
      </c>
      <c r="B25" s="11">
        <v>18</v>
      </c>
      <c r="C25" s="21" t="s">
        <v>51</v>
      </c>
      <c r="D25" s="13"/>
      <c r="E25" s="20"/>
      <c r="F25" s="13"/>
      <c r="L25" s="1"/>
    </row>
    <row r="26" ht="167.15000000000001" customHeight="1">
      <c r="A26" s="3">
        <f>A24+7</f>
        <v>46146</v>
      </c>
      <c r="B26" s="11">
        <v>19</v>
      </c>
      <c r="C26" s="21" t="s">
        <v>43</v>
      </c>
      <c r="D26" s="13" t="s">
        <v>47</v>
      </c>
      <c r="E26" s="20" t="s">
        <v>8</v>
      </c>
      <c r="F26" s="13" t="s">
        <v>52</v>
      </c>
    </row>
    <row r="27" ht="94" customHeight="1">
      <c r="A27" s="3">
        <f>A25 + 7</f>
        <v>46148</v>
      </c>
      <c r="B27" s="11">
        <v>20</v>
      </c>
      <c r="C27" s="14" t="s">
        <v>32</v>
      </c>
      <c r="D27" s="5"/>
      <c r="E27" s="5"/>
      <c r="F27" s="5"/>
    </row>
    <row r="28" ht="55.950000000000003" customHeight="1">
      <c r="A28" s="3">
        <f>A26+7</f>
        <v>46153</v>
      </c>
      <c r="B28" s="11">
        <v>21</v>
      </c>
      <c r="C28" s="18" t="s">
        <v>53</v>
      </c>
      <c r="D28" s="18" t="s">
        <v>53</v>
      </c>
      <c r="E28" s="19"/>
      <c r="F28" s="19"/>
    </row>
    <row r="29" ht="79.099999999999994" customHeight="1">
      <c r="A29" s="3">
        <f>A27 + 7</f>
        <v>46155</v>
      </c>
      <c r="B29" s="4">
        <v>22</v>
      </c>
      <c r="C29" s="18" t="s">
        <v>53</v>
      </c>
      <c r="D29" s="18" t="s">
        <v>53</v>
      </c>
      <c r="E29" s="19"/>
      <c r="F29" s="19"/>
    </row>
    <row r="30" ht="89.549999999999997" customHeight="1">
      <c r="A30" s="22"/>
      <c r="B30" s="4">
        <v>23</v>
      </c>
      <c r="C30" s="23"/>
      <c r="D30" s="23"/>
      <c r="E30" s="23"/>
      <c r="F30" s="23"/>
    </row>
    <row r="31" ht="69.400000000000006" customHeight="1">
      <c r="A31" s="3"/>
      <c r="B31" s="4">
        <v>24</v>
      </c>
    </row>
    <row r="32" ht="13.800000000000001" customHeight="1">
      <c r="A32" s="22"/>
      <c r="B32" s="19"/>
    </row>
    <row r="33" ht="14.25">
      <c r="A33" s="22"/>
      <c r="B33" s="19"/>
    </row>
  </sheetData>
  <mergeCells count="4">
    <mergeCell ref="C4:F4"/>
    <mergeCell ref="C5:F5"/>
    <mergeCell ref="C22:F22"/>
    <mergeCell ref="C30:F30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9" zoomScale="90" workbookViewId="0">
      <selection activeCell="C21" activeCellId="1" sqref="C4:F4 C21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  <col customWidth="1" min="10" max="10" style="1" width="16.280000000000001"/>
    <col customWidth="1" min="11" max="11" style="1" width="40.96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/>
    </row>
    <row r="2" ht="68.650000000000006">
      <c r="A2" s="3">
        <v>45880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</row>
    <row r="3" ht="55.200000000000003">
      <c r="A3" s="3">
        <v>45882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</row>
    <row r="4" ht="82.049999999999997">
      <c r="A4" s="3">
        <f t="shared" ref="A4:A7" si="2">A2+7</f>
        <v>45887</v>
      </c>
      <c r="B4" s="4"/>
      <c r="C4" s="5" t="s">
        <v>13</v>
      </c>
      <c r="D4" s="10" t="s">
        <v>14</v>
      </c>
      <c r="E4" s="5" t="s">
        <v>8</v>
      </c>
      <c r="F4" s="10" t="s">
        <v>15</v>
      </c>
    </row>
    <row r="5" ht="135.80000000000001">
      <c r="A5" s="3">
        <f t="shared" si="2"/>
        <v>45889</v>
      </c>
      <c r="B5" s="9"/>
      <c r="C5" s="13" t="s">
        <v>19</v>
      </c>
      <c r="D5" s="13" t="s">
        <v>17</v>
      </c>
      <c r="E5" s="13" t="s">
        <v>8</v>
      </c>
      <c r="F5" s="13" t="s">
        <v>18</v>
      </c>
    </row>
    <row r="6" ht="135.80000000000001">
      <c r="A6" s="3">
        <f t="shared" si="2"/>
        <v>45894</v>
      </c>
      <c r="B6" s="4">
        <v>3</v>
      </c>
      <c r="C6" s="13" t="s">
        <v>19</v>
      </c>
      <c r="D6" s="13" t="s">
        <v>20</v>
      </c>
      <c r="E6" s="13" t="s">
        <v>8</v>
      </c>
      <c r="F6" s="13" t="s">
        <v>21</v>
      </c>
    </row>
    <row r="7" ht="95.5">
      <c r="A7" s="3">
        <f t="shared" si="2"/>
        <v>45896</v>
      </c>
      <c r="B7" s="11">
        <v>4</v>
      </c>
      <c r="C7" s="5" t="s">
        <v>22</v>
      </c>
      <c r="D7" s="5" t="s">
        <v>23</v>
      </c>
      <c r="E7" s="5" t="s">
        <v>8</v>
      </c>
      <c r="F7" s="5" t="s">
        <v>24</v>
      </c>
    </row>
    <row r="8" ht="57" customHeight="1">
      <c r="A8" s="3">
        <f>A6 + 7</f>
        <v>45901</v>
      </c>
      <c r="B8" s="11"/>
      <c r="C8" s="17" t="s">
        <v>54</v>
      </c>
      <c r="D8" s="17"/>
      <c r="E8" s="17"/>
      <c r="F8" s="17"/>
    </row>
    <row r="9" ht="81.75" customHeight="1">
      <c r="A9" s="3">
        <f>A7+7</f>
        <v>45903</v>
      </c>
      <c r="B9" s="11">
        <v>5</v>
      </c>
      <c r="C9" s="16" t="s">
        <v>25</v>
      </c>
      <c r="D9" s="17" t="s">
        <v>26</v>
      </c>
      <c r="E9" s="17" t="s">
        <v>8</v>
      </c>
      <c r="F9" s="17" t="s">
        <v>27</v>
      </c>
      <c r="G9" s="15" t="s">
        <v>55</v>
      </c>
    </row>
    <row r="10" ht="98.5" customHeight="1">
      <c r="A10" s="3">
        <f>A8 + 7</f>
        <v>45908</v>
      </c>
      <c r="B10" s="11">
        <v>6</v>
      </c>
      <c r="C10" s="5" t="s">
        <v>22</v>
      </c>
      <c r="D10" s="5" t="s">
        <v>28</v>
      </c>
      <c r="E10" s="5" t="s">
        <v>8</v>
      </c>
      <c r="F10" s="5" t="s">
        <v>29</v>
      </c>
    </row>
    <row r="11" ht="65.650000000000006" customHeight="1">
      <c r="A11" s="3">
        <f>A9+7</f>
        <v>45910</v>
      </c>
      <c r="B11" s="4">
        <v>7</v>
      </c>
      <c r="C11" s="5" t="s">
        <v>22</v>
      </c>
      <c r="D11" s="5" t="s">
        <v>30</v>
      </c>
      <c r="E11" s="5" t="s">
        <v>8</v>
      </c>
      <c r="F11" s="5" t="s">
        <v>31</v>
      </c>
    </row>
    <row r="12" ht="101.25" customHeight="1">
      <c r="A12" s="3">
        <f>A10 + 7</f>
        <v>45915</v>
      </c>
      <c r="B12" s="4">
        <v>8</v>
      </c>
      <c r="C12" s="5" t="s">
        <v>22</v>
      </c>
      <c r="D12" s="5" t="s">
        <v>30</v>
      </c>
      <c r="E12" s="5" t="s">
        <v>8</v>
      </c>
      <c r="F12" s="5" t="s">
        <v>31</v>
      </c>
      <c r="G12" s="1" t="s">
        <v>46</v>
      </c>
    </row>
    <row r="13" ht="99.950000000000003" customHeight="1">
      <c r="A13" s="3">
        <f>A11+7</f>
        <v>45917</v>
      </c>
      <c r="B13" s="4">
        <v>9</v>
      </c>
      <c r="C13" s="5" t="s">
        <v>56</v>
      </c>
      <c r="D13" s="5" t="s">
        <v>57</v>
      </c>
      <c r="E13" s="5" t="s">
        <v>58</v>
      </c>
      <c r="F13" s="5" t="s">
        <v>59</v>
      </c>
    </row>
    <row r="14" ht="99.950000000000003" customHeight="1">
      <c r="A14" s="3">
        <f>A12 + 7</f>
        <v>45922</v>
      </c>
      <c r="B14" s="4"/>
      <c r="C14" s="18" t="s">
        <v>33</v>
      </c>
      <c r="D14" s="18" t="s">
        <v>33</v>
      </c>
      <c r="E14" s="18" t="s">
        <v>33</v>
      </c>
      <c r="F14" s="19"/>
    </row>
    <row r="15" ht="93.75" customHeight="1">
      <c r="A15" s="3">
        <f>A13+7</f>
        <v>45924</v>
      </c>
      <c r="B15" s="11">
        <v>10</v>
      </c>
      <c r="C15" s="18" t="s">
        <v>33</v>
      </c>
      <c r="D15" s="18" t="s">
        <v>33</v>
      </c>
      <c r="E15" s="18" t="s">
        <v>33</v>
      </c>
      <c r="F15" s="19"/>
    </row>
    <row r="16" ht="106.7" customHeight="1">
      <c r="A16" s="3">
        <f>A14 + 7</f>
        <v>45929</v>
      </c>
      <c r="B16" s="19"/>
      <c r="C16" s="5" t="s">
        <v>22</v>
      </c>
      <c r="D16" s="5" t="s">
        <v>30</v>
      </c>
      <c r="E16" s="5" t="s">
        <v>8</v>
      </c>
      <c r="F16" s="5" t="s">
        <v>31</v>
      </c>
      <c r="G16" s="15"/>
    </row>
    <row r="17" ht="138.80000000000001" customHeight="1">
      <c r="A17" s="3">
        <f t="shared" ref="A17:A18" si="3">A15+7</f>
        <v>45931</v>
      </c>
      <c r="B17" s="19"/>
      <c r="C17" s="13" t="s">
        <v>34</v>
      </c>
      <c r="D17" s="13"/>
      <c r="E17" s="13" t="s">
        <v>8</v>
      </c>
      <c r="F17" s="13" t="s">
        <v>35</v>
      </c>
      <c r="L17" s="1"/>
    </row>
    <row r="18" ht="134.30000000000001" customHeight="1">
      <c r="A18" s="3">
        <f t="shared" si="3"/>
        <v>45936</v>
      </c>
      <c r="B18" s="11">
        <v>11</v>
      </c>
      <c r="C18" s="13" t="s">
        <v>36</v>
      </c>
      <c r="D18" s="13" t="s">
        <v>37</v>
      </c>
      <c r="E18" s="13" t="s">
        <v>8</v>
      </c>
      <c r="F18" s="13" t="s">
        <v>38</v>
      </c>
      <c r="L18" s="1"/>
    </row>
    <row r="19" ht="121.59999999999999" customHeight="1">
      <c r="A19" s="3">
        <f>A17 + 7</f>
        <v>45938</v>
      </c>
      <c r="B19" s="11">
        <v>12</v>
      </c>
      <c r="C19" s="13" t="s">
        <v>36</v>
      </c>
      <c r="D19" s="13" t="s">
        <v>39</v>
      </c>
      <c r="E19" s="13" t="s">
        <v>8</v>
      </c>
      <c r="F19" s="13" t="s">
        <v>40</v>
      </c>
      <c r="L19" s="1"/>
    </row>
    <row r="20" ht="139.55000000000001" customHeight="1">
      <c r="A20" s="3">
        <f>A18+7</f>
        <v>45943</v>
      </c>
      <c r="B20" s="11">
        <v>13</v>
      </c>
      <c r="C20" s="13" t="s">
        <v>36</v>
      </c>
      <c r="D20" s="13" t="s">
        <v>41</v>
      </c>
      <c r="E20" s="13" t="s">
        <v>8</v>
      </c>
      <c r="F20" s="13" t="s">
        <v>42</v>
      </c>
      <c r="L20" s="1" t="s">
        <v>46</v>
      </c>
    </row>
    <row r="21" ht="127.59999999999999" customHeight="1">
      <c r="A21" s="3">
        <f>A19 + 7</f>
        <v>45945</v>
      </c>
      <c r="B21" s="11">
        <v>14</v>
      </c>
      <c r="C21" s="5" t="s">
        <v>43</v>
      </c>
      <c r="D21" s="5" t="s">
        <v>44</v>
      </c>
      <c r="E21" s="5" t="s">
        <v>8</v>
      </c>
      <c r="F21" s="5" t="s">
        <v>45</v>
      </c>
      <c r="L21" s="1"/>
    </row>
    <row r="22" ht="144.75" customHeight="1">
      <c r="A22" s="3">
        <f>A20+7</f>
        <v>45950</v>
      </c>
      <c r="B22" s="4">
        <v>15</v>
      </c>
      <c r="C22" s="24" t="s">
        <v>60</v>
      </c>
      <c r="D22" s="24" t="s">
        <v>60</v>
      </c>
      <c r="E22" s="24" t="s">
        <v>60</v>
      </c>
      <c r="F22" s="24" t="s">
        <v>60</v>
      </c>
      <c r="L22" s="1"/>
    </row>
    <row r="23" ht="202.19999999999999" customHeight="1">
      <c r="A23" s="3">
        <f>A21 + 7</f>
        <v>45952</v>
      </c>
      <c r="B23" s="11">
        <v>16</v>
      </c>
      <c r="C23" s="5" t="s">
        <v>43</v>
      </c>
      <c r="D23" s="5" t="s">
        <v>47</v>
      </c>
      <c r="E23" s="5" t="s">
        <v>8</v>
      </c>
      <c r="F23" s="5" t="s">
        <v>48</v>
      </c>
    </row>
    <row r="24" ht="99.25" customHeight="1">
      <c r="A24" s="3">
        <f>A22+7</f>
        <v>45957</v>
      </c>
      <c r="B24" s="11">
        <v>17</v>
      </c>
      <c r="C24" s="20" t="s">
        <v>43</v>
      </c>
      <c r="D24" s="13" t="s">
        <v>47</v>
      </c>
      <c r="E24" s="20" t="s">
        <v>8</v>
      </c>
      <c r="F24" s="13" t="s">
        <v>49</v>
      </c>
    </row>
    <row r="25" ht="112.65000000000001" customHeight="1">
      <c r="A25" s="3">
        <f>A23 + 7</f>
        <v>45959</v>
      </c>
      <c r="B25" s="11">
        <v>18</v>
      </c>
      <c r="C25" s="20" t="s">
        <v>43</v>
      </c>
      <c r="D25" s="13" t="s">
        <v>47</v>
      </c>
      <c r="E25" s="20" t="s">
        <v>8</v>
      </c>
      <c r="F25" s="13" t="s">
        <v>50</v>
      </c>
      <c r="L25" s="1"/>
    </row>
    <row r="26" ht="167.15000000000001" customHeight="1">
      <c r="A26" s="3">
        <f>A24+7</f>
        <v>45964</v>
      </c>
      <c r="B26" s="11">
        <v>19</v>
      </c>
      <c r="C26" s="20" t="s">
        <v>43</v>
      </c>
      <c r="D26" s="13" t="s">
        <v>47</v>
      </c>
      <c r="E26" s="20" t="s">
        <v>8</v>
      </c>
      <c r="F26" s="13" t="s">
        <v>52</v>
      </c>
    </row>
    <row r="27" ht="94" customHeight="1">
      <c r="A27" s="3">
        <f>A25 + 7</f>
        <v>45966</v>
      </c>
      <c r="B27" s="11">
        <v>20</v>
      </c>
      <c r="C27" s="23" t="s">
        <v>61</v>
      </c>
      <c r="D27" s="23"/>
      <c r="E27" s="23"/>
      <c r="F27" s="23"/>
    </row>
    <row r="28" ht="55.950000000000003" customHeight="1">
      <c r="A28" s="3">
        <f>A26+7</f>
        <v>45971</v>
      </c>
      <c r="B28" s="11">
        <v>21</v>
      </c>
      <c r="C28" s="18" t="s">
        <v>53</v>
      </c>
      <c r="D28" s="18" t="s">
        <v>53</v>
      </c>
      <c r="E28" s="19"/>
      <c r="F28" s="19"/>
    </row>
    <row r="29" ht="79.099999999999994" customHeight="1">
      <c r="A29" s="3">
        <f>A27 + 7</f>
        <v>45973</v>
      </c>
      <c r="B29" s="4">
        <v>22</v>
      </c>
      <c r="C29" s="18" t="s">
        <v>53</v>
      </c>
      <c r="D29" s="18" t="s">
        <v>53</v>
      </c>
      <c r="E29" s="19"/>
      <c r="F29" s="19"/>
    </row>
    <row r="30" ht="89.549999999999997" customHeight="1">
      <c r="A30" s="22"/>
      <c r="B30" s="4">
        <v>23</v>
      </c>
    </row>
    <row r="31" ht="69.400000000000006" customHeight="1">
      <c r="A31" s="3"/>
      <c r="B31" s="4">
        <v>24</v>
      </c>
    </row>
    <row r="32" ht="13.800000000000001" customHeight="1">
      <c r="A32" s="22"/>
      <c r="B32" s="19"/>
    </row>
    <row r="33" ht="14.25">
      <c r="A33" s="22"/>
      <c r="B33" s="19"/>
    </row>
  </sheetData>
  <mergeCells count="1">
    <mergeCell ref="C27:F27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4" zoomScale="90" workbookViewId="0">
      <selection activeCell="F12" activeCellId="1" sqref="C4:F4 F12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  <col customWidth="1" min="10" max="10" style="1" width="16.28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</row>
    <row r="2" ht="68.650000000000006">
      <c r="A2" s="22">
        <v>45693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</row>
    <row r="3" ht="55.200000000000003">
      <c r="A3" s="22">
        <v>45695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</row>
    <row r="4" ht="82.049999999999997">
      <c r="A4" s="22">
        <f t="shared" ref="A4:A7" si="4">A2+7</f>
        <v>45700</v>
      </c>
      <c r="B4" s="4"/>
      <c r="C4" s="5" t="s">
        <v>13</v>
      </c>
      <c r="D4" s="10" t="s">
        <v>14</v>
      </c>
      <c r="E4" s="5" t="s">
        <v>8</v>
      </c>
      <c r="F4" s="10" t="s">
        <v>15</v>
      </c>
    </row>
    <row r="5" ht="135.80000000000001">
      <c r="A5" s="22">
        <f t="shared" si="4"/>
        <v>45702</v>
      </c>
      <c r="B5" s="9"/>
      <c r="C5" s="13" t="s">
        <v>19</v>
      </c>
      <c r="D5" s="13" t="s">
        <v>17</v>
      </c>
      <c r="E5" s="13" t="s">
        <v>8</v>
      </c>
      <c r="F5" s="13" t="s">
        <v>18</v>
      </c>
    </row>
    <row r="6" ht="135.80000000000001">
      <c r="A6" s="22">
        <f t="shared" si="4"/>
        <v>45707</v>
      </c>
      <c r="B6" s="4">
        <v>3</v>
      </c>
      <c r="C6" s="13" t="s">
        <v>19</v>
      </c>
      <c r="D6" s="13" t="s">
        <v>20</v>
      </c>
      <c r="E6" s="13" t="s">
        <v>8</v>
      </c>
      <c r="F6" s="13" t="s">
        <v>21</v>
      </c>
    </row>
    <row r="7" ht="95.5">
      <c r="A7" s="22">
        <f t="shared" si="4"/>
        <v>45709</v>
      </c>
      <c r="B7" s="11">
        <v>4</v>
      </c>
      <c r="C7" s="5" t="s">
        <v>22</v>
      </c>
      <c r="D7" s="5" t="s">
        <v>23</v>
      </c>
      <c r="E7" s="5" t="s">
        <v>8</v>
      </c>
      <c r="F7" s="5" t="s">
        <v>62</v>
      </c>
    </row>
    <row r="8" ht="57" customHeight="1">
      <c r="A8" s="25" t="s">
        <v>63</v>
      </c>
      <c r="B8" s="11"/>
      <c r="C8" s="5" t="s">
        <v>54</v>
      </c>
      <c r="D8" s="5"/>
      <c r="E8" s="5"/>
      <c r="F8" s="5"/>
    </row>
    <row r="9" ht="81.75" customHeight="1">
      <c r="A9" s="22">
        <f t="shared" ref="A9:A10" si="5">A6+7</f>
        <v>45714</v>
      </c>
      <c r="B9" s="11">
        <v>5</v>
      </c>
      <c r="C9" s="25" t="s">
        <v>64</v>
      </c>
      <c r="D9" s="25"/>
      <c r="E9" s="25"/>
      <c r="F9" s="25"/>
    </row>
    <row r="10" ht="98.5" customHeight="1">
      <c r="A10" s="22">
        <f t="shared" si="5"/>
        <v>45716</v>
      </c>
      <c r="B10" s="11">
        <v>6</v>
      </c>
      <c r="C10" s="25"/>
      <c r="D10" s="25"/>
      <c r="E10" s="25"/>
      <c r="F10" s="25"/>
    </row>
    <row r="11" ht="65.650000000000006" customHeight="1">
      <c r="A11" s="22">
        <f>A9+7</f>
        <v>45721</v>
      </c>
      <c r="B11" s="4">
        <v>7</v>
      </c>
      <c r="C11" s="25" t="s">
        <v>12</v>
      </c>
      <c r="D11" s="25"/>
      <c r="E11" s="25"/>
      <c r="F11" s="25"/>
    </row>
    <row r="12" ht="101.25" customHeight="1">
      <c r="B12" s="4">
        <v>8</v>
      </c>
      <c r="C12" s="5" t="s">
        <v>22</v>
      </c>
      <c r="D12" s="5" t="s">
        <v>28</v>
      </c>
      <c r="E12" s="5" t="s">
        <v>8</v>
      </c>
      <c r="F12" s="5" t="s">
        <v>29</v>
      </c>
    </row>
    <row r="13" ht="99.950000000000003" customHeight="1">
      <c r="A13" s="22">
        <f>A10+7</f>
        <v>45723</v>
      </c>
      <c r="B13" s="4">
        <v>9</v>
      </c>
      <c r="C13" s="5" t="s">
        <v>22</v>
      </c>
      <c r="D13" s="5" t="s">
        <v>30</v>
      </c>
      <c r="E13" s="5" t="s">
        <v>8</v>
      </c>
      <c r="F13" s="5" t="s">
        <v>31</v>
      </c>
    </row>
    <row r="14" ht="99.950000000000003" customHeight="1">
      <c r="A14" s="26" t="s">
        <v>65</v>
      </c>
      <c r="B14" s="4"/>
      <c r="C14" s="13" t="s">
        <v>36</v>
      </c>
      <c r="D14" s="13" t="s">
        <v>37</v>
      </c>
      <c r="E14" s="13" t="s">
        <v>8</v>
      </c>
      <c r="F14" s="13" t="s">
        <v>38</v>
      </c>
    </row>
    <row r="15" ht="93.75" customHeight="1">
      <c r="A15" s="22">
        <f>A11+7</f>
        <v>45728</v>
      </c>
      <c r="B15" s="11">
        <v>10</v>
      </c>
      <c r="C15" s="13" t="s">
        <v>36</v>
      </c>
      <c r="D15" s="13" t="s">
        <v>39</v>
      </c>
      <c r="E15" s="13" t="s">
        <v>8</v>
      </c>
      <c r="F15" s="13" t="s">
        <v>66</v>
      </c>
    </row>
    <row r="16" ht="74.599999999999994" customHeight="1">
      <c r="A16" s="22">
        <f>A13+7</f>
        <v>45730</v>
      </c>
      <c r="B16" s="19"/>
      <c r="C16" s="13" t="s">
        <v>67</v>
      </c>
      <c r="D16" s="13"/>
      <c r="E16" s="13" t="s">
        <v>58</v>
      </c>
      <c r="F16" s="13" t="s">
        <v>68</v>
      </c>
    </row>
    <row r="17" ht="81.299999999999997" customHeight="1">
      <c r="A17" s="22">
        <f t="shared" ref="A17:A33" si="6">A15+7</f>
        <v>45735</v>
      </c>
      <c r="B17" s="19"/>
      <c r="C17" s="5" t="s">
        <v>56</v>
      </c>
      <c r="D17" s="5" t="s">
        <v>57</v>
      </c>
      <c r="E17" s="5" t="s">
        <v>58</v>
      </c>
      <c r="F17" s="5" t="s">
        <v>59</v>
      </c>
    </row>
    <row r="18" ht="103.7" customHeight="1">
      <c r="A18" s="22">
        <f t="shared" si="6"/>
        <v>45737</v>
      </c>
      <c r="B18" s="11">
        <v>11</v>
      </c>
      <c r="C18" s="18" t="s">
        <v>33</v>
      </c>
      <c r="D18" s="18" t="s">
        <v>33</v>
      </c>
      <c r="E18" s="18" t="s">
        <v>33</v>
      </c>
      <c r="F18" s="19"/>
    </row>
    <row r="19" ht="79.5" customHeight="1">
      <c r="A19" s="22">
        <f t="shared" si="6"/>
        <v>45742</v>
      </c>
      <c r="B19" s="11">
        <v>12</v>
      </c>
      <c r="C19" s="18" t="s">
        <v>33</v>
      </c>
      <c r="D19" s="18" t="s">
        <v>33</v>
      </c>
      <c r="E19" s="18" t="s">
        <v>33</v>
      </c>
      <c r="F19" s="19"/>
    </row>
    <row r="20" ht="93" customHeight="1">
      <c r="A20" s="22">
        <f t="shared" si="6"/>
        <v>45744</v>
      </c>
      <c r="B20" s="11">
        <v>13</v>
      </c>
      <c r="C20" s="18" t="s">
        <v>33</v>
      </c>
      <c r="D20" s="18" t="s">
        <v>33</v>
      </c>
      <c r="E20" s="18" t="s">
        <v>33</v>
      </c>
      <c r="F20" s="19"/>
    </row>
    <row r="21" ht="106.5" customHeight="1">
      <c r="A21" s="22">
        <f t="shared" si="6"/>
        <v>45749</v>
      </c>
      <c r="B21" s="11">
        <v>14</v>
      </c>
      <c r="C21" s="20" t="s">
        <v>43</v>
      </c>
      <c r="D21" s="13" t="s">
        <v>44</v>
      </c>
      <c r="E21" s="20" t="s">
        <v>8</v>
      </c>
      <c r="F21" s="13" t="s">
        <v>45</v>
      </c>
    </row>
    <row r="22" ht="144.75" customHeight="1">
      <c r="A22" s="22">
        <f t="shared" si="6"/>
        <v>45751</v>
      </c>
      <c r="B22" s="4">
        <v>15</v>
      </c>
      <c r="C22" s="20" t="s">
        <v>43</v>
      </c>
      <c r="D22" s="13" t="s">
        <v>47</v>
      </c>
      <c r="E22" s="20" t="s">
        <v>8</v>
      </c>
      <c r="F22" s="13" t="s">
        <v>69</v>
      </c>
    </row>
    <row r="23" ht="112.65000000000001" customHeight="1">
      <c r="A23" s="22">
        <f t="shared" si="6"/>
        <v>45756</v>
      </c>
      <c r="B23" s="11">
        <v>16</v>
      </c>
      <c r="C23" s="20" t="s">
        <v>43</v>
      </c>
      <c r="D23" s="13" t="s">
        <v>47</v>
      </c>
      <c r="E23" s="20" t="s">
        <v>8</v>
      </c>
      <c r="F23" s="13" t="s">
        <v>70</v>
      </c>
    </row>
    <row r="24" ht="99.25" customHeight="1">
      <c r="A24" s="22">
        <f t="shared" si="6"/>
        <v>45758</v>
      </c>
      <c r="B24" s="11">
        <v>17</v>
      </c>
      <c r="C24" s="20" t="s">
        <v>43</v>
      </c>
      <c r="D24" s="13" t="s">
        <v>47</v>
      </c>
      <c r="E24" s="20" t="s">
        <v>8</v>
      </c>
      <c r="F24" s="13" t="s">
        <v>70</v>
      </c>
    </row>
    <row r="25" ht="112.65000000000001" customHeight="1">
      <c r="A25" s="22">
        <f t="shared" si="6"/>
        <v>45763</v>
      </c>
      <c r="B25" s="11">
        <v>18</v>
      </c>
      <c r="C25" s="20" t="s">
        <v>43</v>
      </c>
      <c r="D25" s="13" t="s">
        <v>71</v>
      </c>
      <c r="E25" s="20" t="s">
        <v>8</v>
      </c>
      <c r="F25" s="13" t="s">
        <v>72</v>
      </c>
    </row>
    <row r="26" ht="106.7" customHeight="1">
      <c r="A26" s="22">
        <f t="shared" si="6"/>
        <v>45765</v>
      </c>
      <c r="B26" s="11">
        <v>19</v>
      </c>
      <c r="C26" s="27" t="s">
        <v>12</v>
      </c>
      <c r="D26" s="27"/>
      <c r="E26" s="27"/>
      <c r="F26" s="27"/>
    </row>
    <row r="27" ht="94" customHeight="1">
      <c r="A27" s="22">
        <f t="shared" si="6"/>
        <v>45770</v>
      </c>
      <c r="B27" s="11">
        <v>20</v>
      </c>
      <c r="C27" s="20" t="s">
        <v>43</v>
      </c>
      <c r="D27" s="13" t="s">
        <v>71</v>
      </c>
      <c r="E27" s="20" t="s">
        <v>8</v>
      </c>
      <c r="F27" s="13" t="s">
        <v>72</v>
      </c>
    </row>
    <row r="28" ht="55.950000000000003" customHeight="1">
      <c r="A28" s="22">
        <f t="shared" si="6"/>
        <v>45772</v>
      </c>
      <c r="B28" s="11">
        <v>21</v>
      </c>
      <c r="C28" s="28" t="s">
        <v>73</v>
      </c>
      <c r="D28" s="10" t="s">
        <v>14</v>
      </c>
      <c r="E28" s="5" t="s">
        <v>8</v>
      </c>
      <c r="F28" s="10" t="s">
        <v>74</v>
      </c>
    </row>
    <row r="29" ht="79.099999999999994" customHeight="1">
      <c r="A29" s="22">
        <f t="shared" si="6"/>
        <v>45777</v>
      </c>
      <c r="B29" s="4">
        <v>22</v>
      </c>
      <c r="C29" s="28" t="s">
        <v>73</v>
      </c>
      <c r="D29" s="10" t="s">
        <v>14</v>
      </c>
      <c r="E29" s="5" t="s">
        <v>8</v>
      </c>
      <c r="F29" s="10" t="s">
        <v>75</v>
      </c>
    </row>
    <row r="30" ht="89.549999999999997" customHeight="1">
      <c r="A30" s="22">
        <f t="shared" si="6"/>
        <v>45779</v>
      </c>
      <c r="B30" s="4">
        <v>23</v>
      </c>
      <c r="C30" s="27" t="s">
        <v>12</v>
      </c>
      <c r="D30" s="27"/>
      <c r="E30" s="27"/>
      <c r="F30" s="27"/>
    </row>
    <row r="31" ht="69.400000000000006" customHeight="1">
      <c r="A31" s="22">
        <f t="shared" si="6"/>
        <v>45784</v>
      </c>
      <c r="B31" s="4">
        <v>24</v>
      </c>
      <c r="C31" s="29" t="s">
        <v>73</v>
      </c>
      <c r="D31" s="30" t="s">
        <v>76</v>
      </c>
      <c r="E31" s="31" t="s">
        <v>8</v>
      </c>
      <c r="F31" s="30" t="s">
        <v>77</v>
      </c>
    </row>
    <row r="32" ht="13.800000000000001" customHeight="1">
      <c r="A32" s="22">
        <f t="shared" si="6"/>
        <v>45786</v>
      </c>
      <c r="B32" s="19"/>
      <c r="C32" s="18" t="s">
        <v>53</v>
      </c>
      <c r="D32" s="18" t="s">
        <v>53</v>
      </c>
      <c r="E32" s="19"/>
      <c r="F32" s="19"/>
    </row>
    <row r="33" ht="14.25">
      <c r="A33" s="22">
        <f t="shared" si="6"/>
        <v>45791</v>
      </c>
      <c r="B33" s="19"/>
      <c r="C33" s="18" t="s">
        <v>53</v>
      </c>
      <c r="D33" s="18" t="s">
        <v>53</v>
      </c>
      <c r="E33" s="19"/>
      <c r="F33" s="19"/>
    </row>
  </sheetData>
  <mergeCells count="4">
    <mergeCell ref="C9:F10"/>
    <mergeCell ref="C11:F11"/>
    <mergeCell ref="C26:F26"/>
    <mergeCell ref="C30:F30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7" zoomScale="90" workbookViewId="0">
      <selection activeCell="C12" activeCellId="1" sqref="C4:F4 C12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/>
    </row>
    <row r="2" ht="68.650000000000006">
      <c r="A2" s="22">
        <v>45511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  <c r="G2" s="32" t="s">
        <v>78</v>
      </c>
    </row>
    <row r="3" ht="55.200000000000003">
      <c r="A3" s="22">
        <v>45513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  <c r="G3" s="32"/>
    </row>
    <row r="4" ht="82.049999999999997">
      <c r="A4" s="22">
        <f t="shared" ref="A4:A11" si="7">A2+7</f>
        <v>45518</v>
      </c>
      <c r="B4" s="9"/>
      <c r="C4" s="5" t="s">
        <v>13</v>
      </c>
      <c r="D4" s="10" t="s">
        <v>14</v>
      </c>
      <c r="E4" s="5" t="s">
        <v>8</v>
      </c>
      <c r="F4" s="10" t="s">
        <v>15</v>
      </c>
      <c r="G4" s="32"/>
    </row>
    <row r="5" ht="135.80000000000001">
      <c r="A5" s="22">
        <f t="shared" si="7"/>
        <v>45520</v>
      </c>
      <c r="B5" s="4">
        <v>3</v>
      </c>
      <c r="C5" s="13" t="s">
        <v>19</v>
      </c>
      <c r="D5" s="13" t="s">
        <v>17</v>
      </c>
      <c r="E5" s="13" t="s">
        <v>8</v>
      </c>
      <c r="F5" s="13" t="s">
        <v>18</v>
      </c>
      <c r="G5" s="32"/>
    </row>
    <row r="6" ht="135.80000000000001">
      <c r="A6" s="22">
        <f t="shared" si="7"/>
        <v>45525</v>
      </c>
      <c r="B6" s="11">
        <v>4</v>
      </c>
      <c r="C6" s="13" t="s">
        <v>19</v>
      </c>
      <c r="D6" s="13" t="s">
        <v>20</v>
      </c>
      <c r="E6" s="13" t="s">
        <v>8</v>
      </c>
      <c r="F6" s="13" t="s">
        <v>21</v>
      </c>
      <c r="G6" s="32"/>
    </row>
    <row r="7" ht="95.5">
      <c r="A7" s="22">
        <f t="shared" si="7"/>
        <v>45527</v>
      </c>
      <c r="B7" s="11">
        <v>5</v>
      </c>
      <c r="C7" s="5" t="s">
        <v>22</v>
      </c>
      <c r="D7" s="5" t="s">
        <v>23</v>
      </c>
      <c r="E7" s="5" t="s">
        <v>8</v>
      </c>
      <c r="F7" s="5" t="s">
        <v>62</v>
      </c>
      <c r="G7" s="32"/>
    </row>
    <row r="8" ht="98.5" customHeight="1">
      <c r="A8" s="22">
        <f t="shared" si="7"/>
        <v>45532</v>
      </c>
      <c r="B8" s="11">
        <v>6</v>
      </c>
      <c r="C8" s="5" t="s">
        <v>22</v>
      </c>
      <c r="D8" s="5" t="s">
        <v>28</v>
      </c>
      <c r="E8" s="5" t="s">
        <v>8</v>
      </c>
      <c r="F8" s="5" t="s">
        <v>29</v>
      </c>
      <c r="G8" s="32"/>
    </row>
    <row r="9" ht="65.650000000000006" customHeight="1">
      <c r="A9" s="22">
        <f t="shared" si="7"/>
        <v>45534</v>
      </c>
      <c r="B9" s="4">
        <v>7</v>
      </c>
      <c r="C9" s="5" t="s">
        <v>22</v>
      </c>
      <c r="D9" s="5" t="s">
        <v>30</v>
      </c>
      <c r="E9" s="5" t="s">
        <v>8</v>
      </c>
      <c r="F9" s="5" t="s">
        <v>31</v>
      </c>
      <c r="G9" s="32"/>
    </row>
    <row r="10" ht="101.25" customHeight="1">
      <c r="A10" s="22">
        <f t="shared" si="7"/>
        <v>45539</v>
      </c>
      <c r="B10" s="4">
        <v>8</v>
      </c>
      <c r="C10" s="13" t="s">
        <v>36</v>
      </c>
      <c r="D10" s="13" t="s">
        <v>37</v>
      </c>
      <c r="E10" s="13" t="s">
        <v>8</v>
      </c>
      <c r="F10" s="13" t="s">
        <v>38</v>
      </c>
      <c r="G10" s="33" t="s">
        <v>79</v>
      </c>
    </row>
    <row r="11" ht="99.950000000000003" customHeight="1">
      <c r="A11" s="22">
        <f t="shared" si="7"/>
        <v>45541</v>
      </c>
      <c r="B11" s="4">
        <v>9</v>
      </c>
      <c r="C11" s="13" t="s">
        <v>36</v>
      </c>
      <c r="D11" s="13" t="s">
        <v>39</v>
      </c>
      <c r="E11" s="13" t="s">
        <v>8</v>
      </c>
      <c r="F11" s="13" t="s">
        <v>66</v>
      </c>
      <c r="G11" s="34" t="s">
        <v>80</v>
      </c>
    </row>
    <row r="12" ht="75" customHeight="1">
      <c r="A12" s="22">
        <f t="shared" ref="A12:A30" si="8">A10+7</f>
        <v>45546</v>
      </c>
      <c r="B12" s="11">
        <v>10</v>
      </c>
      <c r="C12" s="10" t="s">
        <v>25</v>
      </c>
      <c r="D12" s="5" t="s">
        <v>26</v>
      </c>
      <c r="E12" s="5" t="s">
        <v>8</v>
      </c>
      <c r="F12" s="5" t="s">
        <v>27</v>
      </c>
      <c r="G12" s="34" t="s">
        <v>81</v>
      </c>
    </row>
    <row r="13" ht="74.599999999999994" customHeight="1">
      <c r="A13" s="22">
        <f t="shared" si="8"/>
        <v>45548</v>
      </c>
      <c r="B13" s="19"/>
      <c r="C13" s="13" t="s">
        <v>67</v>
      </c>
      <c r="D13" s="13"/>
      <c r="E13" s="13" t="s">
        <v>58</v>
      </c>
      <c r="F13" s="13" t="s">
        <v>68</v>
      </c>
      <c r="G13" s="35" t="s">
        <v>82</v>
      </c>
    </row>
    <row r="14" ht="81.299999999999997" customHeight="1">
      <c r="A14" s="22">
        <f t="shared" si="8"/>
        <v>45553</v>
      </c>
      <c r="B14" s="19"/>
      <c r="C14" s="5" t="s">
        <v>56</v>
      </c>
      <c r="D14" s="5" t="s">
        <v>57</v>
      </c>
      <c r="E14" s="5" t="s">
        <v>58</v>
      </c>
      <c r="F14" s="5" t="s">
        <v>59</v>
      </c>
    </row>
    <row r="15" ht="103.7" customHeight="1">
      <c r="A15" s="22">
        <f t="shared" si="8"/>
        <v>45555</v>
      </c>
      <c r="B15" s="11">
        <v>11</v>
      </c>
      <c r="C15" s="18" t="s">
        <v>33</v>
      </c>
      <c r="D15" s="18" t="s">
        <v>33</v>
      </c>
      <c r="E15" s="18" t="s">
        <v>33</v>
      </c>
      <c r="F15" s="19"/>
    </row>
    <row r="16" ht="79.5" customHeight="1">
      <c r="A16" s="22">
        <f t="shared" si="8"/>
        <v>45560</v>
      </c>
      <c r="B16" s="11">
        <v>12</v>
      </c>
      <c r="C16" s="18" t="s">
        <v>33</v>
      </c>
      <c r="D16" s="18" t="s">
        <v>33</v>
      </c>
      <c r="E16" s="18" t="s">
        <v>33</v>
      </c>
      <c r="F16" s="19"/>
    </row>
    <row r="17" ht="93" customHeight="1">
      <c r="A17" s="22">
        <f t="shared" si="8"/>
        <v>45562</v>
      </c>
      <c r="B17" s="11">
        <v>13</v>
      </c>
      <c r="C17" s="20" t="s">
        <v>43</v>
      </c>
      <c r="D17" s="13" t="s">
        <v>44</v>
      </c>
      <c r="E17" s="20" t="s">
        <v>8</v>
      </c>
      <c r="F17" s="13" t="s">
        <v>45</v>
      </c>
    </row>
    <row r="18" ht="122.34999999999999">
      <c r="A18" s="22">
        <f t="shared" si="8"/>
        <v>45567</v>
      </c>
      <c r="B18" s="11">
        <v>14</v>
      </c>
      <c r="C18" s="20" t="s">
        <v>43</v>
      </c>
      <c r="D18" s="13" t="s">
        <v>47</v>
      </c>
      <c r="E18" s="20" t="s">
        <v>8</v>
      </c>
      <c r="F18" s="13" t="s">
        <v>69</v>
      </c>
    </row>
    <row r="19" ht="98.5" customHeight="1">
      <c r="A19" s="22">
        <f t="shared" si="8"/>
        <v>45569</v>
      </c>
      <c r="B19" s="4">
        <v>15</v>
      </c>
      <c r="C19" s="20" t="s">
        <v>43</v>
      </c>
      <c r="D19" s="13" t="s">
        <v>47</v>
      </c>
      <c r="E19" s="20" t="s">
        <v>8</v>
      </c>
      <c r="F19" s="13" t="s">
        <v>83</v>
      </c>
      <c r="G19" s="33" t="s">
        <v>84</v>
      </c>
    </row>
    <row r="20" ht="112.65000000000001" customHeight="1">
      <c r="A20" s="22">
        <f t="shared" si="8"/>
        <v>45574</v>
      </c>
      <c r="B20" s="11">
        <v>16</v>
      </c>
      <c r="C20" s="20" t="s">
        <v>43</v>
      </c>
      <c r="D20" s="13" t="s">
        <v>85</v>
      </c>
      <c r="E20" s="20" t="s">
        <v>8</v>
      </c>
      <c r="F20" s="13" t="s">
        <v>85</v>
      </c>
    </row>
    <row r="21" ht="99.25" customHeight="1">
      <c r="A21" s="22">
        <f t="shared" si="8"/>
        <v>45576</v>
      </c>
      <c r="B21" s="11">
        <v>17</v>
      </c>
      <c r="C21" s="20" t="s">
        <v>43</v>
      </c>
      <c r="D21" s="13" t="s">
        <v>71</v>
      </c>
      <c r="E21" s="20" t="s">
        <v>8</v>
      </c>
      <c r="F21" s="13" t="s">
        <v>74</v>
      </c>
    </row>
    <row r="22" ht="112.65000000000001" customHeight="1">
      <c r="A22" s="22">
        <f t="shared" si="8"/>
        <v>45581</v>
      </c>
      <c r="B22" s="11">
        <v>18</v>
      </c>
      <c r="C22" s="20" t="s">
        <v>43</v>
      </c>
      <c r="D22" s="13" t="s">
        <v>71</v>
      </c>
      <c r="E22" s="20" t="s">
        <v>8</v>
      </c>
      <c r="F22" s="13" t="s">
        <v>72</v>
      </c>
    </row>
    <row r="23" ht="106.7" customHeight="1">
      <c r="A23" s="22">
        <f t="shared" si="8"/>
        <v>45583</v>
      </c>
      <c r="B23" s="11">
        <v>19</v>
      </c>
      <c r="C23" s="20" t="s">
        <v>43</v>
      </c>
      <c r="D23" s="13" t="s">
        <v>71</v>
      </c>
      <c r="E23" s="20" t="s">
        <v>8</v>
      </c>
      <c r="F23" s="13" t="s">
        <v>72</v>
      </c>
      <c r="G23" s="33" t="s">
        <v>86</v>
      </c>
    </row>
    <row r="24" ht="94" customHeight="1">
      <c r="A24" s="22">
        <f t="shared" si="8"/>
        <v>45588</v>
      </c>
      <c r="B24" s="11">
        <v>20</v>
      </c>
      <c r="C24" s="20" t="s">
        <v>43</v>
      </c>
      <c r="D24" s="13" t="s">
        <v>85</v>
      </c>
      <c r="E24" s="20" t="s">
        <v>8</v>
      </c>
      <c r="F24" s="13" t="s">
        <v>85</v>
      </c>
    </row>
    <row r="25" ht="55.950000000000003" customHeight="1">
      <c r="A25" s="22">
        <f t="shared" si="8"/>
        <v>45590</v>
      </c>
      <c r="B25" s="11">
        <v>21</v>
      </c>
      <c r="C25" s="28" t="s">
        <v>73</v>
      </c>
      <c r="D25" s="10" t="s">
        <v>14</v>
      </c>
      <c r="E25" s="5" t="s">
        <v>8</v>
      </c>
      <c r="F25" s="10" t="s">
        <v>74</v>
      </c>
      <c r="G25" s="36" t="s">
        <v>87</v>
      </c>
    </row>
    <row r="26" ht="79.099999999999994" customHeight="1">
      <c r="A26" s="22">
        <f t="shared" si="8"/>
        <v>45595</v>
      </c>
      <c r="B26" s="4">
        <v>22</v>
      </c>
      <c r="C26" s="28" t="s">
        <v>73</v>
      </c>
      <c r="D26" s="10" t="s">
        <v>14</v>
      </c>
      <c r="E26" s="5" t="s">
        <v>8</v>
      </c>
      <c r="F26" s="10" t="s">
        <v>75</v>
      </c>
      <c r="G26" s="36" t="s">
        <v>87</v>
      </c>
    </row>
    <row r="27" ht="89.549999999999997" customHeight="1">
      <c r="A27" s="22">
        <f t="shared" si="8"/>
        <v>45597</v>
      </c>
      <c r="B27" s="4">
        <v>23</v>
      </c>
      <c r="C27" s="28" t="s">
        <v>73</v>
      </c>
      <c r="D27" s="10" t="s">
        <v>76</v>
      </c>
      <c r="E27" s="5" t="s">
        <v>8</v>
      </c>
      <c r="F27" s="10" t="s">
        <v>77</v>
      </c>
      <c r="G27" s="36" t="s">
        <v>87</v>
      </c>
    </row>
    <row r="28" ht="69.400000000000006" customHeight="1">
      <c r="A28" s="22">
        <f t="shared" si="8"/>
        <v>45602</v>
      </c>
      <c r="B28" s="4">
        <v>24</v>
      </c>
      <c r="C28" s="20" t="s">
        <v>56</v>
      </c>
      <c r="D28" s="13" t="s">
        <v>57</v>
      </c>
      <c r="E28" s="20" t="s">
        <v>58</v>
      </c>
      <c r="F28" s="13" t="s">
        <v>59</v>
      </c>
    </row>
    <row r="29" ht="13.800000000000001" customHeight="1">
      <c r="A29" s="22">
        <f t="shared" si="8"/>
        <v>45604</v>
      </c>
      <c r="B29" s="19"/>
      <c r="C29" s="18" t="s">
        <v>53</v>
      </c>
      <c r="D29" s="18" t="s">
        <v>53</v>
      </c>
      <c r="E29" s="19"/>
      <c r="F29" s="19"/>
    </row>
    <row r="30" ht="14.25">
      <c r="A30" s="22">
        <f t="shared" si="8"/>
        <v>45609</v>
      </c>
      <c r="B30" s="19"/>
      <c r="C30" s="18" t="s">
        <v>53</v>
      </c>
      <c r="D30" s="18" t="s">
        <v>53</v>
      </c>
      <c r="E30" s="19"/>
      <c r="F30" s="19"/>
    </row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3" zoomScale="90" workbookViewId="0">
      <selection activeCell="A13" activeCellId="1" sqref="C4:F4 A13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88</v>
      </c>
      <c r="H1" s="2" t="s">
        <v>3</v>
      </c>
      <c r="I1" s="2" t="s">
        <v>89</v>
      </c>
    </row>
    <row r="2" ht="68.650000000000006">
      <c r="A2" s="22">
        <v>45329</v>
      </c>
      <c r="B2" s="4">
        <v>1</v>
      </c>
      <c r="C2" s="10" t="s">
        <v>6</v>
      </c>
      <c r="D2" s="5" t="s">
        <v>7</v>
      </c>
      <c r="E2" s="5" t="s">
        <v>8</v>
      </c>
      <c r="F2" s="5" t="s">
        <v>9</v>
      </c>
    </row>
    <row r="3" ht="55.200000000000003">
      <c r="A3" s="22">
        <v>45331</v>
      </c>
      <c r="B3" s="4">
        <v>2</v>
      </c>
      <c r="C3" s="10" t="s">
        <v>6</v>
      </c>
      <c r="D3" s="5" t="s">
        <v>10</v>
      </c>
      <c r="E3" s="5" t="s">
        <v>8</v>
      </c>
      <c r="F3" s="5" t="s">
        <v>11</v>
      </c>
    </row>
    <row r="4" ht="14.25">
      <c r="A4" s="22">
        <f t="shared" ref="A4:A11" si="9">A2+7</f>
        <v>45336</v>
      </c>
      <c r="B4" s="9"/>
      <c r="C4" s="9" t="s">
        <v>90</v>
      </c>
      <c r="D4" s="9" t="s">
        <v>91</v>
      </c>
      <c r="E4" s="37" t="s">
        <v>91</v>
      </c>
      <c r="F4" s="9"/>
    </row>
    <row r="5" ht="68.650000000000006">
      <c r="A5" s="22">
        <f t="shared" si="9"/>
        <v>45338</v>
      </c>
      <c r="B5" s="4">
        <v>3</v>
      </c>
      <c r="C5" s="28" t="s">
        <v>13</v>
      </c>
      <c r="D5" s="10" t="s">
        <v>14</v>
      </c>
      <c r="E5" s="5" t="s">
        <v>8</v>
      </c>
      <c r="F5" s="10" t="s">
        <v>92</v>
      </c>
    </row>
    <row r="6" ht="135.80000000000001">
      <c r="A6" s="22">
        <f t="shared" si="9"/>
        <v>45343</v>
      </c>
      <c r="B6" s="11">
        <v>4</v>
      </c>
      <c r="C6" s="20" t="s">
        <v>19</v>
      </c>
      <c r="D6" s="13" t="s">
        <v>17</v>
      </c>
      <c r="E6" s="5" t="s">
        <v>8</v>
      </c>
      <c r="F6" s="13" t="s">
        <v>93</v>
      </c>
    </row>
    <row r="7" ht="122.34999999999999">
      <c r="A7" s="22">
        <f t="shared" si="9"/>
        <v>45345</v>
      </c>
      <c r="B7" s="11">
        <v>5</v>
      </c>
      <c r="C7" s="20" t="s">
        <v>19</v>
      </c>
      <c r="D7" s="13" t="s">
        <v>20</v>
      </c>
      <c r="E7" s="5" t="s">
        <v>8</v>
      </c>
      <c r="F7" s="13" t="s">
        <v>94</v>
      </c>
    </row>
    <row r="8" ht="144.75" customHeight="1">
      <c r="A8" s="22">
        <f t="shared" si="9"/>
        <v>45350</v>
      </c>
      <c r="B8" s="11">
        <v>6</v>
      </c>
      <c r="C8" s="28" t="s">
        <v>73</v>
      </c>
      <c r="D8" s="10" t="s">
        <v>14</v>
      </c>
      <c r="E8" s="5" t="s">
        <v>8</v>
      </c>
      <c r="F8" s="10" t="s">
        <v>95</v>
      </c>
    </row>
    <row r="9" ht="155.25" customHeight="1">
      <c r="A9" s="22">
        <f t="shared" si="9"/>
        <v>45352</v>
      </c>
      <c r="B9" s="4">
        <v>7</v>
      </c>
      <c r="C9" s="28" t="s">
        <v>73</v>
      </c>
      <c r="D9" s="10" t="s">
        <v>14</v>
      </c>
      <c r="E9" s="5" t="s">
        <v>8</v>
      </c>
      <c r="F9" s="10" t="s">
        <v>75</v>
      </c>
    </row>
    <row r="10" ht="101.25" customHeight="1">
      <c r="A10" s="22">
        <f t="shared" si="9"/>
        <v>45357</v>
      </c>
      <c r="B10" s="4">
        <v>8</v>
      </c>
      <c r="C10" s="28" t="s">
        <v>73</v>
      </c>
      <c r="D10" s="10" t="s">
        <v>76</v>
      </c>
      <c r="E10" s="5" t="s">
        <v>8</v>
      </c>
      <c r="F10" s="10" t="s">
        <v>77</v>
      </c>
    </row>
    <row r="11" ht="99.950000000000003" customHeight="1">
      <c r="A11" s="22">
        <f t="shared" si="9"/>
        <v>45359</v>
      </c>
      <c r="B11" s="4">
        <v>9</v>
      </c>
      <c r="C11" s="13" t="s">
        <v>96</v>
      </c>
      <c r="D11" s="13" t="s">
        <v>14</v>
      </c>
      <c r="E11" s="5" t="s">
        <v>8</v>
      </c>
      <c r="F11" s="13" t="s">
        <v>97</v>
      </c>
    </row>
    <row r="12" ht="75" customHeight="1">
      <c r="A12" s="22">
        <f t="shared" ref="A12:A30" si="10">A10+7</f>
        <v>45364</v>
      </c>
      <c r="B12" s="11">
        <v>10</v>
      </c>
      <c r="C12" s="20" t="s">
        <v>22</v>
      </c>
      <c r="D12" s="13" t="s">
        <v>23</v>
      </c>
      <c r="E12" s="5" t="s">
        <v>8</v>
      </c>
      <c r="F12" s="13" t="s">
        <v>98</v>
      </c>
    </row>
    <row r="13" ht="74.599999999999994" customHeight="1">
      <c r="A13" s="22">
        <f t="shared" si="10"/>
        <v>45366</v>
      </c>
      <c r="B13" s="19"/>
      <c r="C13" s="20" t="s">
        <v>22</v>
      </c>
      <c r="D13" s="13" t="s">
        <v>28</v>
      </c>
      <c r="E13" s="5" t="s">
        <v>8</v>
      </c>
      <c r="F13" s="13" t="s">
        <v>99</v>
      </c>
    </row>
    <row r="14" ht="81.299999999999997" customHeight="1">
      <c r="A14" s="22">
        <f t="shared" si="10"/>
        <v>45371</v>
      </c>
      <c r="B14" s="19"/>
      <c r="C14" s="20" t="s">
        <v>56</v>
      </c>
      <c r="D14" s="13" t="s">
        <v>57</v>
      </c>
      <c r="E14" s="5" t="s">
        <v>58</v>
      </c>
      <c r="F14" s="13" t="s">
        <v>59</v>
      </c>
    </row>
    <row r="15" ht="103.7" customHeight="1">
      <c r="A15" s="22">
        <f t="shared" si="10"/>
        <v>45373</v>
      </c>
      <c r="B15" s="11">
        <v>11</v>
      </c>
      <c r="C15" s="18" t="s">
        <v>33</v>
      </c>
      <c r="D15" s="18" t="s">
        <v>33</v>
      </c>
      <c r="E15" s="18" t="s">
        <v>33</v>
      </c>
      <c r="F15" s="19"/>
    </row>
    <row r="16" ht="79.5" customHeight="1">
      <c r="A16" s="22">
        <f t="shared" si="10"/>
        <v>45378</v>
      </c>
      <c r="B16" s="11">
        <v>12</v>
      </c>
      <c r="C16" s="18" t="s">
        <v>33</v>
      </c>
      <c r="D16" s="18" t="s">
        <v>33</v>
      </c>
      <c r="E16" s="18" t="s">
        <v>33</v>
      </c>
      <c r="F16" s="19"/>
    </row>
    <row r="17" ht="93" customHeight="1">
      <c r="A17" s="22">
        <f t="shared" si="10"/>
        <v>45380</v>
      </c>
      <c r="B17" s="11">
        <v>13</v>
      </c>
      <c r="C17" s="9" t="s">
        <v>90</v>
      </c>
      <c r="D17" s="9" t="s">
        <v>91</v>
      </c>
      <c r="E17" s="37" t="s">
        <v>91</v>
      </c>
      <c r="F17" s="9"/>
    </row>
    <row r="18" ht="55.200000000000003">
      <c r="A18" s="22">
        <f t="shared" si="10"/>
        <v>45385</v>
      </c>
      <c r="B18" s="11">
        <v>14</v>
      </c>
      <c r="C18" s="20" t="s">
        <v>22</v>
      </c>
      <c r="D18" s="13" t="s">
        <v>30</v>
      </c>
      <c r="E18" s="5" t="s">
        <v>8</v>
      </c>
      <c r="F18" s="13" t="s">
        <v>100</v>
      </c>
    </row>
    <row r="19" ht="28.350000000000001">
      <c r="A19" s="22">
        <f t="shared" si="10"/>
        <v>45387</v>
      </c>
      <c r="B19" s="4">
        <v>15</v>
      </c>
      <c r="C19" s="20" t="s">
        <v>22</v>
      </c>
      <c r="D19" s="13" t="s">
        <v>101</v>
      </c>
      <c r="E19" s="5" t="s">
        <v>8</v>
      </c>
      <c r="F19" s="13" t="s">
        <v>102</v>
      </c>
    </row>
    <row r="20" ht="72.75" customHeight="1">
      <c r="A20" s="22">
        <f t="shared" si="10"/>
        <v>45392</v>
      </c>
      <c r="B20" s="11">
        <v>16</v>
      </c>
      <c r="C20" s="10" t="s">
        <v>25</v>
      </c>
      <c r="D20" s="5" t="s">
        <v>26</v>
      </c>
      <c r="E20" s="5" t="s">
        <v>8</v>
      </c>
      <c r="F20" s="5" t="s">
        <v>27</v>
      </c>
    </row>
    <row r="21" ht="68.650000000000006">
      <c r="A21" s="22">
        <f t="shared" si="10"/>
        <v>45394</v>
      </c>
      <c r="B21" s="11">
        <v>17</v>
      </c>
      <c r="C21" s="20" t="s">
        <v>43</v>
      </c>
      <c r="D21" s="13" t="s">
        <v>44</v>
      </c>
      <c r="E21" s="5" t="s">
        <v>8</v>
      </c>
      <c r="F21" s="13" t="s">
        <v>45</v>
      </c>
    </row>
    <row r="22" ht="94" customHeight="1">
      <c r="A22" s="22">
        <f t="shared" si="10"/>
        <v>45399</v>
      </c>
      <c r="B22" s="11">
        <v>18</v>
      </c>
      <c r="C22" s="20" t="s">
        <v>43</v>
      </c>
      <c r="D22" s="13" t="s">
        <v>47</v>
      </c>
      <c r="E22" s="5" t="s">
        <v>8</v>
      </c>
      <c r="F22" s="13" t="s">
        <v>103</v>
      </c>
    </row>
    <row r="23" ht="49.25" customHeight="1">
      <c r="A23" s="22">
        <f t="shared" si="10"/>
        <v>45401</v>
      </c>
      <c r="B23" s="11">
        <v>19</v>
      </c>
      <c r="C23" s="20" t="s">
        <v>43</v>
      </c>
      <c r="D23" s="13" t="s">
        <v>85</v>
      </c>
      <c r="E23" s="5" t="s">
        <v>8</v>
      </c>
      <c r="F23" s="13" t="s">
        <v>85</v>
      </c>
    </row>
    <row r="24" ht="94" customHeight="1">
      <c r="A24" s="22">
        <f t="shared" si="10"/>
        <v>45406</v>
      </c>
      <c r="B24" s="11">
        <v>20</v>
      </c>
      <c r="C24" s="20" t="s">
        <v>43</v>
      </c>
      <c r="D24" s="13" t="s">
        <v>71</v>
      </c>
      <c r="E24" s="5" t="s">
        <v>8</v>
      </c>
      <c r="F24" s="13" t="s">
        <v>104</v>
      </c>
    </row>
    <row r="25" ht="55.950000000000003" customHeight="1">
      <c r="A25" s="22">
        <f t="shared" si="10"/>
        <v>45408</v>
      </c>
      <c r="B25" s="11">
        <v>21</v>
      </c>
      <c r="C25" s="20" t="s">
        <v>43</v>
      </c>
      <c r="D25" s="13" t="s">
        <v>85</v>
      </c>
      <c r="E25" s="5" t="s">
        <v>8</v>
      </c>
      <c r="F25" s="13" t="s">
        <v>85</v>
      </c>
    </row>
    <row r="26" ht="79.099999999999994" customHeight="1">
      <c r="A26" s="22">
        <f t="shared" si="10"/>
        <v>45413</v>
      </c>
      <c r="B26" s="4">
        <v>22</v>
      </c>
      <c r="C26" s="9" t="s">
        <v>90</v>
      </c>
      <c r="D26" s="9" t="s">
        <v>91</v>
      </c>
      <c r="E26" s="37" t="s">
        <v>91</v>
      </c>
      <c r="F26" s="9"/>
    </row>
    <row r="27" ht="89.549999999999997" customHeight="1">
      <c r="A27" s="22">
        <f t="shared" si="10"/>
        <v>45415</v>
      </c>
      <c r="B27" s="4">
        <v>23</v>
      </c>
      <c r="C27" s="28" t="s">
        <v>36</v>
      </c>
      <c r="D27" s="10" t="s">
        <v>37</v>
      </c>
      <c r="E27" s="5" t="s">
        <v>8</v>
      </c>
      <c r="F27" s="10" t="s">
        <v>105</v>
      </c>
    </row>
    <row r="28" ht="69.400000000000006" customHeight="1">
      <c r="A28" s="22">
        <f t="shared" si="10"/>
        <v>45420</v>
      </c>
      <c r="B28" s="4">
        <v>24</v>
      </c>
      <c r="C28" s="28" t="s">
        <v>36</v>
      </c>
      <c r="D28" s="10" t="s">
        <v>39</v>
      </c>
      <c r="E28" s="5" t="s">
        <v>8</v>
      </c>
      <c r="F28" s="10" t="s">
        <v>106</v>
      </c>
    </row>
    <row r="29" ht="13.800000000000001" customHeight="1">
      <c r="A29" s="22">
        <f t="shared" si="10"/>
        <v>45422</v>
      </c>
      <c r="B29" s="19"/>
      <c r="C29" s="18" t="s">
        <v>53</v>
      </c>
      <c r="D29" s="18" t="s">
        <v>53</v>
      </c>
      <c r="E29" s="19"/>
      <c r="F29" s="19"/>
    </row>
    <row r="30" ht="14.25">
      <c r="A30" s="22">
        <f t="shared" si="10"/>
        <v>45427</v>
      </c>
      <c r="B30" s="19"/>
      <c r="C30" s="18" t="s">
        <v>53</v>
      </c>
      <c r="D30" s="18" t="s">
        <v>53</v>
      </c>
      <c r="E30" s="19"/>
      <c r="F30" s="19"/>
    </row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90" workbookViewId="0">
      <selection activeCell="A1" activeCellId="1" sqref="C4:F4 A1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88</v>
      </c>
      <c r="H1" s="2" t="s">
        <v>3</v>
      </c>
      <c r="I1" s="2" t="s">
        <v>89</v>
      </c>
    </row>
    <row r="2" ht="68.650000000000006">
      <c r="A2" s="22">
        <v>45329</v>
      </c>
      <c r="B2" s="4">
        <v>1</v>
      </c>
      <c r="C2" s="10" t="s">
        <v>6</v>
      </c>
      <c r="D2" s="5" t="s">
        <v>7</v>
      </c>
      <c r="E2" s="5" t="s">
        <v>8</v>
      </c>
      <c r="F2" s="5" t="s">
        <v>9</v>
      </c>
    </row>
    <row r="3" ht="55.200000000000003">
      <c r="A3" s="22">
        <v>45331</v>
      </c>
      <c r="B3" s="4">
        <v>2</v>
      </c>
      <c r="C3" s="10" t="s">
        <v>6</v>
      </c>
      <c r="D3" s="5" t="s">
        <v>10</v>
      </c>
      <c r="E3" s="5" t="s">
        <v>8</v>
      </c>
      <c r="F3" s="5" t="s">
        <v>11</v>
      </c>
    </row>
    <row r="4" ht="14.25">
      <c r="A4" s="22">
        <f t="shared" ref="A4:A11" si="11">A2+7</f>
        <v>45336</v>
      </c>
      <c r="B4" s="9"/>
      <c r="C4" s="9" t="s">
        <v>90</v>
      </c>
      <c r="D4" s="9" t="s">
        <v>91</v>
      </c>
      <c r="E4" s="37" t="s">
        <v>91</v>
      </c>
      <c r="F4" s="9"/>
    </row>
    <row r="5" ht="55.200000000000003">
      <c r="A5" s="22">
        <f t="shared" si="11"/>
        <v>45338</v>
      </c>
      <c r="B5" s="4">
        <v>3</v>
      </c>
      <c r="C5" s="10" t="s">
        <v>6</v>
      </c>
      <c r="D5" s="5" t="s">
        <v>10</v>
      </c>
      <c r="E5" s="5" t="s">
        <v>8</v>
      </c>
      <c r="F5" s="5" t="s">
        <v>11</v>
      </c>
      <c r="G5" s="38" t="s">
        <v>107</v>
      </c>
    </row>
    <row r="6" ht="68.650000000000006">
      <c r="A6" s="22">
        <f t="shared" si="11"/>
        <v>45343</v>
      </c>
      <c r="B6" s="11">
        <v>4</v>
      </c>
      <c r="C6" s="20" t="s">
        <v>19</v>
      </c>
      <c r="D6" s="13" t="s">
        <v>108</v>
      </c>
      <c r="E6" s="5" t="s">
        <v>8</v>
      </c>
      <c r="F6" s="13" t="s">
        <v>109</v>
      </c>
    </row>
    <row r="7" ht="95.5">
      <c r="A7" s="22">
        <f t="shared" si="11"/>
        <v>45345</v>
      </c>
      <c r="B7" s="11">
        <v>5</v>
      </c>
      <c r="C7" s="20" t="s">
        <v>19</v>
      </c>
      <c r="D7" s="13" t="s">
        <v>17</v>
      </c>
      <c r="E7" s="5" t="s">
        <v>8</v>
      </c>
      <c r="F7" s="13" t="s">
        <v>110</v>
      </c>
    </row>
    <row r="8" ht="144.75" customHeight="1">
      <c r="A8" s="22">
        <f t="shared" si="11"/>
        <v>45350</v>
      </c>
      <c r="B8" s="11">
        <v>6</v>
      </c>
      <c r="C8" s="20" t="s">
        <v>19</v>
      </c>
      <c r="D8" s="13" t="s">
        <v>111</v>
      </c>
      <c r="E8" s="5" t="s">
        <v>8</v>
      </c>
      <c r="F8" s="13" t="s">
        <v>112</v>
      </c>
    </row>
    <row r="9" ht="155.25" customHeight="1">
      <c r="A9" s="22">
        <f t="shared" si="11"/>
        <v>45352</v>
      </c>
      <c r="B9" s="4">
        <v>7</v>
      </c>
      <c r="C9" s="28" t="s">
        <v>113</v>
      </c>
      <c r="D9" s="10" t="s">
        <v>14</v>
      </c>
      <c r="E9" s="5" t="s">
        <v>8</v>
      </c>
      <c r="F9" s="10" t="s">
        <v>92</v>
      </c>
    </row>
    <row r="10" ht="101.25" customHeight="1">
      <c r="A10" s="22">
        <f t="shared" si="11"/>
        <v>45357</v>
      </c>
      <c r="B10" s="4">
        <v>8</v>
      </c>
      <c r="C10" s="28" t="s">
        <v>113</v>
      </c>
      <c r="D10" s="10" t="s">
        <v>14</v>
      </c>
      <c r="E10" s="5" t="s">
        <v>8</v>
      </c>
      <c r="F10" s="10" t="s">
        <v>114</v>
      </c>
    </row>
    <row r="11" ht="88.5" customHeight="1">
      <c r="A11" s="22">
        <f t="shared" si="11"/>
        <v>45359</v>
      </c>
      <c r="B11" s="4">
        <v>9</v>
      </c>
      <c r="C11" s="28" t="s">
        <v>113</v>
      </c>
      <c r="D11" s="10" t="s">
        <v>76</v>
      </c>
      <c r="E11" s="5" t="s">
        <v>8</v>
      </c>
      <c r="F11" s="10" t="s">
        <v>115</v>
      </c>
    </row>
    <row r="12" ht="75" customHeight="1">
      <c r="A12" s="22">
        <f t="shared" ref="A12:A30" si="12">A10+7</f>
        <v>45364</v>
      </c>
      <c r="B12" s="11">
        <v>10</v>
      </c>
      <c r="C12" s="13" t="s">
        <v>116</v>
      </c>
      <c r="D12" s="13" t="s">
        <v>14</v>
      </c>
      <c r="E12" s="5" t="s">
        <v>8</v>
      </c>
      <c r="F12" s="13" t="s">
        <v>117</v>
      </c>
    </row>
    <row r="13" ht="74.599999999999994" customHeight="1">
      <c r="A13" s="22">
        <f t="shared" si="12"/>
        <v>45366</v>
      </c>
      <c r="B13" s="19"/>
      <c r="C13" s="20" t="s">
        <v>22</v>
      </c>
      <c r="D13" s="13" t="s">
        <v>23</v>
      </c>
      <c r="E13" s="5" t="s">
        <v>8</v>
      </c>
      <c r="F13" s="13" t="s">
        <v>98</v>
      </c>
    </row>
    <row r="14" ht="81.299999999999997" customHeight="1">
      <c r="A14" s="22">
        <f t="shared" si="12"/>
        <v>45371</v>
      </c>
      <c r="B14" s="19"/>
      <c r="C14" s="20" t="s">
        <v>22</v>
      </c>
      <c r="D14" s="13" t="s">
        <v>28</v>
      </c>
      <c r="E14" s="5" t="s">
        <v>8</v>
      </c>
      <c r="F14" s="13" t="s">
        <v>99</v>
      </c>
      <c r="G14" s="1" t="s">
        <v>118</v>
      </c>
    </row>
    <row r="15" ht="103.7" customHeight="1">
      <c r="A15" s="22">
        <f t="shared" si="12"/>
        <v>45373</v>
      </c>
      <c r="B15" s="11">
        <v>11</v>
      </c>
      <c r="C15" s="18" t="s">
        <v>33</v>
      </c>
      <c r="D15" s="18" t="s">
        <v>33</v>
      </c>
      <c r="E15" s="18" t="s">
        <v>33</v>
      </c>
      <c r="F15" s="19"/>
    </row>
    <row r="16" ht="79.5" customHeight="1">
      <c r="A16" s="22">
        <f t="shared" si="12"/>
        <v>45378</v>
      </c>
      <c r="B16" s="11">
        <v>12</v>
      </c>
      <c r="C16" s="18" t="s">
        <v>33</v>
      </c>
      <c r="D16" s="18" t="s">
        <v>33</v>
      </c>
      <c r="E16" s="18" t="s">
        <v>33</v>
      </c>
      <c r="F16" s="19"/>
      <c r="I16" s="4">
        <v>12</v>
      </c>
      <c r="J16" s="28" t="s">
        <v>119</v>
      </c>
      <c r="K16" s="5" t="s">
        <v>120</v>
      </c>
      <c r="L16" s="5" t="s">
        <v>121</v>
      </c>
    </row>
    <row r="17" ht="93" customHeight="1">
      <c r="A17" s="22">
        <f t="shared" si="12"/>
        <v>45380</v>
      </c>
      <c r="B17" s="11">
        <v>13</v>
      </c>
      <c r="C17" s="9" t="s">
        <v>90</v>
      </c>
      <c r="D17" s="9" t="s">
        <v>91</v>
      </c>
      <c r="E17" s="37" t="s">
        <v>91</v>
      </c>
      <c r="F17" s="9"/>
    </row>
    <row r="18" ht="55.200000000000003">
      <c r="A18" s="22">
        <f t="shared" si="12"/>
        <v>45385</v>
      </c>
      <c r="B18" s="11">
        <v>14</v>
      </c>
      <c r="C18" s="20" t="s">
        <v>22</v>
      </c>
      <c r="D18" s="13" t="s">
        <v>30</v>
      </c>
      <c r="E18" s="5" t="s">
        <v>8</v>
      </c>
      <c r="F18" s="13" t="s">
        <v>100</v>
      </c>
    </row>
    <row r="19" ht="28.350000000000001">
      <c r="A19" s="22">
        <f t="shared" si="12"/>
        <v>45387</v>
      </c>
      <c r="B19" s="4">
        <v>15</v>
      </c>
      <c r="C19" s="20" t="s">
        <v>22</v>
      </c>
      <c r="D19" s="13" t="s">
        <v>101</v>
      </c>
      <c r="E19" s="5" t="s">
        <v>8</v>
      </c>
      <c r="F19" s="13" t="s">
        <v>102</v>
      </c>
    </row>
    <row r="20" ht="72.75" customHeight="1">
      <c r="A20" s="22">
        <f t="shared" si="12"/>
        <v>45392</v>
      </c>
      <c r="B20" s="11">
        <v>16</v>
      </c>
      <c r="C20" s="10" t="s">
        <v>25</v>
      </c>
      <c r="D20" s="5" t="s">
        <v>26</v>
      </c>
      <c r="E20" s="5" t="s">
        <v>8</v>
      </c>
      <c r="F20" s="5" t="s">
        <v>27</v>
      </c>
    </row>
    <row r="21" ht="68.650000000000006">
      <c r="A21" s="22">
        <f t="shared" si="12"/>
        <v>45394</v>
      </c>
      <c r="B21" s="11">
        <v>17</v>
      </c>
      <c r="C21" s="20" t="s">
        <v>43</v>
      </c>
      <c r="D21" s="13" t="s">
        <v>44</v>
      </c>
      <c r="E21" s="5" t="s">
        <v>8</v>
      </c>
      <c r="F21" s="13" t="s">
        <v>45</v>
      </c>
    </row>
    <row r="22" ht="41" customHeight="1">
      <c r="A22" s="22">
        <f t="shared" si="12"/>
        <v>45399</v>
      </c>
      <c r="B22" s="11">
        <v>18</v>
      </c>
      <c r="C22" s="20" t="s">
        <v>43</v>
      </c>
      <c r="D22" s="13" t="s">
        <v>47</v>
      </c>
      <c r="E22" s="5" t="s">
        <v>8</v>
      </c>
      <c r="F22" s="13" t="s">
        <v>103</v>
      </c>
      <c r="G22" s="38" t="s">
        <v>107</v>
      </c>
    </row>
    <row r="23" ht="14.25">
      <c r="A23" s="22">
        <f t="shared" si="12"/>
        <v>45401</v>
      </c>
      <c r="B23" s="11">
        <v>19</v>
      </c>
      <c r="C23" s="20" t="s">
        <v>43</v>
      </c>
      <c r="D23" s="13" t="s">
        <v>85</v>
      </c>
      <c r="E23" s="5" t="s">
        <v>8</v>
      </c>
      <c r="F23" s="13" t="s">
        <v>85</v>
      </c>
    </row>
    <row r="24" ht="39.549999999999997" customHeight="1">
      <c r="A24" s="22">
        <f t="shared" si="12"/>
        <v>45406</v>
      </c>
      <c r="B24" s="11">
        <v>20</v>
      </c>
      <c r="C24" s="20" t="s">
        <v>43</v>
      </c>
      <c r="D24" s="13" t="s">
        <v>71</v>
      </c>
      <c r="E24" s="5" t="s">
        <v>8</v>
      </c>
      <c r="F24" s="13" t="s">
        <v>104</v>
      </c>
    </row>
    <row r="25" ht="42.5" customHeight="1">
      <c r="A25" s="22">
        <f t="shared" si="12"/>
        <v>45408</v>
      </c>
      <c r="B25" s="11">
        <v>21</v>
      </c>
      <c r="C25" s="20" t="s">
        <v>43</v>
      </c>
      <c r="D25" s="13" t="s">
        <v>85</v>
      </c>
      <c r="E25" s="5" t="s">
        <v>8</v>
      </c>
      <c r="F25" s="13" t="s">
        <v>85</v>
      </c>
      <c r="G25" s="38" t="s">
        <v>107</v>
      </c>
    </row>
    <row r="26" ht="79.099999999999994" customHeight="1">
      <c r="A26" s="22">
        <f t="shared" si="12"/>
        <v>45413</v>
      </c>
      <c r="B26" s="4">
        <v>22</v>
      </c>
      <c r="C26" s="9" t="s">
        <v>90</v>
      </c>
      <c r="D26" s="9" t="s">
        <v>91</v>
      </c>
      <c r="E26" s="37" t="s">
        <v>91</v>
      </c>
      <c r="F26" s="9"/>
    </row>
    <row r="27" ht="89.549999999999997" customHeight="1">
      <c r="A27" s="22">
        <f t="shared" si="12"/>
        <v>45415</v>
      </c>
      <c r="B27" s="4">
        <v>23</v>
      </c>
      <c r="C27" s="28" t="s">
        <v>36</v>
      </c>
      <c r="D27" s="10" t="s">
        <v>37</v>
      </c>
      <c r="E27" s="5" t="s">
        <v>8</v>
      </c>
      <c r="F27" s="10" t="s">
        <v>105</v>
      </c>
    </row>
    <row r="28" ht="69.400000000000006" customHeight="1">
      <c r="A28" s="22">
        <f t="shared" si="12"/>
        <v>45420</v>
      </c>
      <c r="B28" s="4">
        <v>24</v>
      </c>
      <c r="C28" s="28" t="s">
        <v>36</v>
      </c>
      <c r="D28" s="10" t="s">
        <v>39</v>
      </c>
      <c r="E28" s="5" t="s">
        <v>8</v>
      </c>
      <c r="F28" s="10" t="s">
        <v>106</v>
      </c>
      <c r="G28" s="38" t="s">
        <v>122</v>
      </c>
    </row>
    <row r="29" ht="13.800000000000001" customHeight="1">
      <c r="A29" s="22">
        <f t="shared" si="12"/>
        <v>45422</v>
      </c>
      <c r="B29" s="19"/>
      <c r="C29" s="18" t="s">
        <v>53</v>
      </c>
      <c r="D29" s="18" t="s">
        <v>53</v>
      </c>
      <c r="E29" s="19"/>
      <c r="F29" s="19"/>
    </row>
    <row r="30" ht="14.25">
      <c r="A30" s="22">
        <f t="shared" si="12"/>
        <v>45427</v>
      </c>
      <c r="B30" s="19"/>
      <c r="C30" s="18" t="s">
        <v>53</v>
      </c>
      <c r="D30" s="18" t="s">
        <v>53</v>
      </c>
      <c r="E30" s="19"/>
      <c r="F30" s="19"/>
    </row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90" workbookViewId="0">
      <selection activeCell="A1" activeCellId="1" sqref="C4:F4 A1"/>
    </sheetView>
  </sheetViews>
  <sheetFormatPr defaultColWidth="8.6796875" defaultRowHeight="14.25" customHeight="1"/>
  <cols>
    <col customWidth="1" min="1" max="1" style="1" width="15.15"/>
    <col customWidth="1" min="3" max="3" style="1" width="28.859999999999999"/>
    <col customWidth="1" min="4" max="4" style="1" width="32.420000000000002"/>
    <col customWidth="1" min="5" max="5" style="1" width="31.280000000000001"/>
    <col customWidth="1" min="6" max="6" style="1" width="24.859999999999999"/>
    <col customWidth="1" min="7" max="7" style="1" width="18.579999999999998"/>
    <col customWidth="1" min="8" max="8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88</v>
      </c>
      <c r="G1" s="2" t="s">
        <v>3</v>
      </c>
      <c r="H1" s="2" t="s">
        <v>89</v>
      </c>
    </row>
    <row r="2" ht="68.650000000000006">
      <c r="A2" s="22">
        <v>44965</v>
      </c>
      <c r="B2" s="4">
        <v>1</v>
      </c>
      <c r="C2" s="10" t="s">
        <v>6</v>
      </c>
      <c r="D2" s="5" t="s">
        <v>7</v>
      </c>
      <c r="E2" s="5" t="s">
        <v>9</v>
      </c>
    </row>
    <row r="3" ht="55.200000000000003">
      <c r="A3" s="22">
        <v>44967</v>
      </c>
      <c r="B3" s="4">
        <v>2</v>
      </c>
      <c r="C3" s="10"/>
      <c r="D3" s="5" t="s">
        <v>10</v>
      </c>
      <c r="E3" s="5" t="s">
        <v>11</v>
      </c>
    </row>
    <row r="4" ht="55.200000000000003">
      <c r="A4" s="22">
        <f t="shared" ref="A4:A11" si="13">A2+7</f>
        <v>44972</v>
      </c>
      <c r="B4" s="4">
        <v>3</v>
      </c>
      <c r="C4" s="10"/>
      <c r="D4" s="5" t="s">
        <v>10</v>
      </c>
      <c r="E4" s="5" t="s">
        <v>11</v>
      </c>
      <c r="F4" s="39" t="s">
        <v>123</v>
      </c>
    </row>
    <row r="5" ht="28.350000000000001">
      <c r="A5" s="22">
        <f t="shared" si="13"/>
        <v>44974</v>
      </c>
      <c r="B5" s="11">
        <v>4</v>
      </c>
      <c r="C5" s="40" t="s">
        <v>124</v>
      </c>
      <c r="D5" s="13" t="s">
        <v>108</v>
      </c>
      <c r="E5" s="13" t="s">
        <v>125</v>
      </c>
    </row>
    <row r="6" ht="14.25">
      <c r="A6" s="22">
        <f t="shared" si="13"/>
        <v>44979</v>
      </c>
      <c r="B6" s="9" t="s">
        <v>90</v>
      </c>
      <c r="C6" s="9"/>
      <c r="D6" s="9"/>
      <c r="E6" s="9"/>
    </row>
    <row r="7" ht="28.350000000000001">
      <c r="A7" s="22">
        <f t="shared" si="13"/>
        <v>44981</v>
      </c>
      <c r="B7" s="11">
        <v>5</v>
      </c>
      <c r="C7" s="40"/>
      <c r="D7" s="13" t="s">
        <v>126</v>
      </c>
      <c r="E7" s="13" t="s">
        <v>127</v>
      </c>
    </row>
    <row r="8" ht="102" customHeight="1">
      <c r="A8" s="22">
        <f t="shared" si="13"/>
        <v>44986</v>
      </c>
      <c r="B8" s="11">
        <v>6</v>
      </c>
      <c r="C8" s="40"/>
      <c r="D8" s="13" t="s">
        <v>128</v>
      </c>
      <c r="E8" s="13" t="s">
        <v>129</v>
      </c>
    </row>
    <row r="9" ht="155.25" customHeight="1">
      <c r="A9" s="22">
        <f t="shared" si="13"/>
        <v>44988</v>
      </c>
      <c r="B9" s="4">
        <v>7</v>
      </c>
      <c r="C9" s="28" t="s">
        <v>130</v>
      </c>
      <c r="D9" s="5" t="s">
        <v>17</v>
      </c>
      <c r="E9" s="5" t="s">
        <v>131</v>
      </c>
    </row>
    <row r="10" ht="101.25" customHeight="1">
      <c r="A10" s="22">
        <f t="shared" si="13"/>
        <v>44993</v>
      </c>
      <c r="B10" s="4">
        <v>8</v>
      </c>
      <c r="C10" s="28"/>
      <c r="D10" s="5" t="s">
        <v>132</v>
      </c>
      <c r="E10" s="5" t="s">
        <v>133</v>
      </c>
    </row>
    <row r="11" ht="88.5" customHeight="1">
      <c r="A11" s="22">
        <f t="shared" si="13"/>
        <v>44995</v>
      </c>
      <c r="B11" s="11">
        <v>9</v>
      </c>
      <c r="C11" s="20" t="s">
        <v>22</v>
      </c>
      <c r="D11" s="13" t="s">
        <v>23</v>
      </c>
      <c r="E11" s="13" t="s">
        <v>98</v>
      </c>
    </row>
    <row r="12" ht="75" customHeight="1">
      <c r="A12" s="22">
        <f t="shared" ref="A12:A33" si="14">A10+7</f>
        <v>45000</v>
      </c>
      <c r="B12" s="11">
        <v>10</v>
      </c>
      <c r="C12" s="20"/>
      <c r="D12" s="13" t="s">
        <v>28</v>
      </c>
      <c r="E12" s="13" t="s">
        <v>99</v>
      </c>
    </row>
    <row r="13" ht="55.200000000000003">
      <c r="A13" s="22">
        <f t="shared" si="14"/>
        <v>45002</v>
      </c>
      <c r="B13" s="11">
        <v>11</v>
      </c>
      <c r="C13" s="20"/>
      <c r="D13" s="13" t="s">
        <v>30</v>
      </c>
      <c r="E13" s="13" t="s">
        <v>100</v>
      </c>
    </row>
    <row r="14" ht="22.5" customHeight="1">
      <c r="A14" s="22">
        <f t="shared" si="14"/>
        <v>45007</v>
      </c>
      <c r="B14" s="41" t="s">
        <v>53</v>
      </c>
      <c r="C14" s="41"/>
      <c r="D14" s="41"/>
      <c r="E14" s="41"/>
    </row>
    <row r="15" ht="22.5" customHeight="1">
      <c r="A15" s="22">
        <f t="shared" si="14"/>
        <v>45009</v>
      </c>
      <c r="B15" s="41" t="s">
        <v>53</v>
      </c>
      <c r="C15" s="41"/>
      <c r="D15" s="41"/>
      <c r="E15" s="41"/>
    </row>
    <row r="16" ht="79.5" customHeight="1">
      <c r="A16" s="22">
        <f t="shared" si="14"/>
        <v>45014</v>
      </c>
      <c r="B16" s="11">
        <v>12</v>
      </c>
      <c r="C16" s="40" t="s">
        <v>113</v>
      </c>
      <c r="D16" s="13" t="s">
        <v>14</v>
      </c>
      <c r="E16" s="13" t="s">
        <v>92</v>
      </c>
      <c r="H16" s="4">
        <v>12</v>
      </c>
      <c r="I16" s="28" t="s">
        <v>119</v>
      </c>
      <c r="J16" s="5" t="s">
        <v>120</v>
      </c>
      <c r="K16" s="5" t="s">
        <v>121</v>
      </c>
      <c r="L16" s="39" t="s">
        <v>123</v>
      </c>
    </row>
    <row r="17" ht="93" customHeight="1">
      <c r="A17" s="22">
        <f t="shared" si="14"/>
        <v>45016</v>
      </c>
      <c r="B17" s="11">
        <v>13</v>
      </c>
      <c r="C17" s="40"/>
      <c r="D17" s="13" t="s">
        <v>14</v>
      </c>
      <c r="E17" s="42" t="s">
        <v>134</v>
      </c>
    </row>
    <row r="18" ht="14.25">
      <c r="A18" s="22">
        <f t="shared" si="14"/>
        <v>45021</v>
      </c>
      <c r="B18" s="9" t="s">
        <v>90</v>
      </c>
      <c r="C18" s="9"/>
      <c r="D18" s="9"/>
      <c r="E18" s="9"/>
    </row>
    <row r="19" ht="14.25">
      <c r="A19" s="22">
        <f t="shared" si="14"/>
        <v>45023</v>
      </c>
      <c r="B19" s="9" t="s">
        <v>90</v>
      </c>
      <c r="C19" s="9"/>
      <c r="D19" s="9"/>
      <c r="E19" s="9"/>
    </row>
    <row r="20" ht="72.75" customHeight="1">
      <c r="A20" s="22">
        <f t="shared" si="14"/>
        <v>45028</v>
      </c>
      <c r="B20" s="11">
        <v>14</v>
      </c>
      <c r="C20" s="40"/>
      <c r="D20" s="13" t="s">
        <v>76</v>
      </c>
      <c r="E20" s="13" t="s">
        <v>135</v>
      </c>
      <c r="F20" s="39" t="s">
        <v>123</v>
      </c>
    </row>
    <row r="21" ht="68.650000000000006">
      <c r="A21" s="22">
        <f t="shared" si="14"/>
        <v>45030</v>
      </c>
      <c r="B21" s="4">
        <v>15</v>
      </c>
      <c r="C21" s="10" t="s">
        <v>136</v>
      </c>
      <c r="D21" s="5" t="s">
        <v>44</v>
      </c>
      <c r="E21" s="5" t="s">
        <v>45</v>
      </c>
    </row>
    <row r="22" ht="95.5">
      <c r="A22" s="22">
        <f t="shared" si="14"/>
        <v>45035</v>
      </c>
      <c r="B22" s="4">
        <v>16</v>
      </c>
      <c r="C22" s="10"/>
      <c r="D22" s="5" t="s">
        <v>47</v>
      </c>
      <c r="E22" s="5" t="s">
        <v>137</v>
      </c>
    </row>
    <row r="23" ht="14.25">
      <c r="A23" s="22">
        <f t="shared" si="14"/>
        <v>45037</v>
      </c>
      <c r="B23" s="9" t="s">
        <v>90</v>
      </c>
      <c r="C23" s="9"/>
      <c r="D23" s="9"/>
      <c r="E23" s="9"/>
    </row>
    <row r="24" ht="95.5">
      <c r="A24" s="22">
        <f t="shared" si="14"/>
        <v>45042</v>
      </c>
      <c r="B24" s="4">
        <v>17</v>
      </c>
      <c r="C24" s="10"/>
      <c r="D24" s="5" t="s">
        <v>71</v>
      </c>
      <c r="E24" s="5" t="s">
        <v>104</v>
      </c>
    </row>
    <row r="25" ht="41.75">
      <c r="A25" s="22">
        <f t="shared" si="14"/>
        <v>45044</v>
      </c>
      <c r="B25" s="4">
        <v>18</v>
      </c>
      <c r="C25" s="10"/>
      <c r="D25" s="5" t="s">
        <v>138</v>
      </c>
      <c r="E25" s="5" t="s">
        <v>139</v>
      </c>
    </row>
    <row r="26" ht="57.450000000000003" customHeight="1">
      <c r="A26" s="22">
        <f t="shared" si="14"/>
        <v>45049</v>
      </c>
      <c r="B26" s="11">
        <v>19</v>
      </c>
      <c r="C26" s="20" t="s">
        <v>140</v>
      </c>
      <c r="D26" s="13" t="s">
        <v>36</v>
      </c>
      <c r="E26" s="13" t="s">
        <v>105</v>
      </c>
    </row>
    <row r="27" ht="68.650000000000006">
      <c r="A27" s="22">
        <f t="shared" si="14"/>
        <v>45051</v>
      </c>
      <c r="B27" s="11">
        <v>20</v>
      </c>
      <c r="C27" s="20"/>
      <c r="D27" s="11"/>
      <c r="E27" s="13" t="s">
        <v>106</v>
      </c>
    </row>
    <row r="28" ht="41.75">
      <c r="A28" s="22">
        <f t="shared" si="14"/>
        <v>45056</v>
      </c>
      <c r="B28" s="11">
        <v>21</v>
      </c>
      <c r="C28" s="20"/>
      <c r="D28" s="11"/>
      <c r="E28" s="13" t="s">
        <v>141</v>
      </c>
    </row>
    <row r="29" ht="14.25">
      <c r="A29" s="22">
        <f t="shared" si="14"/>
        <v>45058</v>
      </c>
      <c r="B29" s="43" t="s">
        <v>53</v>
      </c>
      <c r="C29" s="43"/>
      <c r="D29" s="43"/>
      <c r="E29" s="43"/>
    </row>
    <row r="30" ht="14.25">
      <c r="A30" s="22">
        <f t="shared" si="14"/>
        <v>45063</v>
      </c>
    </row>
    <row r="31" ht="14.25">
      <c r="A31" s="22">
        <f t="shared" si="14"/>
        <v>45065</v>
      </c>
    </row>
    <row r="32" ht="14.25">
      <c r="A32" s="22">
        <f t="shared" si="14"/>
        <v>45070</v>
      </c>
    </row>
    <row r="33" ht="14.25">
      <c r="A33" s="22">
        <f t="shared" si="14"/>
        <v>45072</v>
      </c>
    </row>
  </sheetData>
  <mergeCells count="10">
    <mergeCell ref="B6:E6"/>
    <mergeCell ref="C9:C10"/>
    <mergeCell ref="C11:C13"/>
    <mergeCell ref="B14:E14"/>
    <mergeCell ref="B15:E15"/>
    <mergeCell ref="B18:E18"/>
    <mergeCell ref="B19:E19"/>
    <mergeCell ref="B23:E23"/>
    <mergeCell ref="C26:C28"/>
    <mergeCell ref="B29:E29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113</cp:revision>
  <dcterms:created xsi:type="dcterms:W3CDTF">2022-09-12T19:06:06Z</dcterms:created>
  <dcterms:modified xsi:type="dcterms:W3CDTF">2026-02-21T18:18:04Z</dcterms:modified>
</cp:coreProperties>
</file>